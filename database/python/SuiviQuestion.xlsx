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hidePivotFieldList="1"/>
  <mc:AlternateContent xmlns:mc="http://schemas.openxmlformats.org/markup-compatibility/2006">
    <mc:Choice Requires="x15">
      <x15ac:absPath xmlns:x15ac="http://schemas.microsoft.com/office/spreadsheetml/2010/11/ac" url="C:\Users\omerf\Desktop\SAE\SAE BUT2\Base de Donnée\"/>
    </mc:Choice>
  </mc:AlternateContent>
  <xr:revisionPtr revIDLastSave="0" documentId="13_ncr:1_{06C54493-DE84-4D5A-A9F3-2F52D3F84D71}" xr6:coauthVersionLast="47" xr6:coauthVersionMax="47" xr10:uidLastSave="{00000000-0000-0000-0000-000000000000}"/>
  <bookViews>
    <workbookView xWindow="-108" yWindow="-108" windowWidth="23256" windowHeight="12456" activeTab="1" xr2:uid="{00000000-000D-0000-FFFF-FFFF00000000}"/>
  </bookViews>
  <sheets>
    <sheet name="Feuil1" sheetId="2" r:id="rId1"/>
    <sheet name="Feuil3" sheetId="4" r:id="rId2"/>
    <sheet name="Sheet1" sheetId="1" r:id="rId3"/>
  </sheets>
  <calcPr calcId="191029"/>
  <pivotCaches>
    <pivotCache cacheId="0" r:id="rId4"/>
    <pivotCache cacheId="1" r:id="rId5"/>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12" i="1" l="1"/>
  <c r="F216" i="1"/>
  <c r="F371" i="1"/>
  <c r="F373" i="1"/>
  <c r="F378" i="1"/>
  <c r="F379" i="1"/>
  <c r="D410" i="1"/>
  <c r="F410" i="1"/>
</calcChain>
</file>

<file path=xl/sharedStrings.xml><?xml version="1.0" encoding="utf-8"?>
<sst xmlns="http://schemas.openxmlformats.org/spreadsheetml/2006/main" count="2732" uniqueCount="1396">
  <si>
    <t>n°</t>
  </si>
  <si>
    <t xml:space="preserve">Question </t>
  </si>
  <si>
    <t>Type de Question</t>
  </si>
  <si>
    <t>Correction</t>
  </si>
  <si>
    <t>Type_de _Réponse</t>
  </si>
  <si>
    <t xml:space="preserve">Reponse  </t>
  </si>
  <si>
    <t xml:space="preserve">Image </t>
  </si>
  <si>
    <t>Convertir 0,3 h en minutes</t>
  </si>
  <si>
    <t>Proportionnalité</t>
  </si>
  <si>
    <t>0,3 h = 0,3 x 60 min = 18 min</t>
  </si>
  <si>
    <t>RDS</t>
  </si>
  <si>
    <t>18min</t>
  </si>
  <si>
    <t>À quelle vitesse moyenne roule-t-on si on parcourt 120 km en 1h30 ?</t>
  </si>
  <si>
    <t>120 / 3 = 40 puis 40 x 2 = 80 km On roule à 80 km/h</t>
  </si>
  <si>
    <t>80|80km/h</t>
  </si>
  <si>
    <t>Quel pourcentage représente 120 élèves sur 300 ?</t>
  </si>
  <si>
    <t xml:space="preserve">120/300 = 40/100. Ça représente 40 % </t>
  </si>
  <si>
    <t>40|40%</t>
  </si>
  <si>
    <t>Convertir 4,2 h en heures et minutes</t>
  </si>
  <si>
    <t>4,2 h = 4h + 0,2 h = 4h + 0,2 x 60 min. Donc 4,2 h = 4h 12 min</t>
  </si>
  <si>
    <t>4,2h|4h12min</t>
  </si>
  <si>
    <t xml:space="preserve">Calculer 20 % de 150 € </t>
  </si>
  <si>
    <t xml:space="preserve">20% x 150 = 0,2 x 150 = 30 € </t>
  </si>
  <si>
    <t>30|30€</t>
  </si>
  <si>
    <t xml:space="preserve">Un cycliste parcourt 4 km en 12 min. À quelle vitesse moyenne roule-t-il ? </t>
  </si>
  <si>
    <t xml:space="preserve"> 12 min x 5 = 60 min donc 4 km x 5 = 20 km. Le cycliste roule à 20 km/h en moyenne. </t>
  </si>
  <si>
    <t>20km/h</t>
  </si>
  <si>
    <t xml:space="preserve">Quel pourcentage représente 3 élèves sur 4 ? </t>
  </si>
  <si>
    <t xml:space="preserve">3 élèves sur 4, c’est aussi 3/4 soit 75/100. Ça représente 75 % </t>
  </si>
  <si>
    <t>75|75%</t>
  </si>
  <si>
    <t>Convertir 5h06 min en heures.</t>
  </si>
  <si>
    <t xml:space="preserve">5h + 6/60 h = 5,1 h </t>
  </si>
  <si>
    <t>5,1h</t>
  </si>
  <si>
    <t xml:space="preserve">Convertir 1,6 h en minutes </t>
  </si>
  <si>
    <t>1,6 h = 1,6 x 60 min = 96 min</t>
  </si>
  <si>
    <t>96min</t>
  </si>
  <si>
    <t xml:space="preserve">À quelle vitesse moyenne (en km/h) roule-t-on si on parcourt 100 m en 15 sec ? </t>
  </si>
  <si>
    <t>3 600 / 15 = 240 puis 240 x 100 = 24 000 m On roule à 24 km/h</t>
  </si>
  <si>
    <t>24|24km/h</t>
  </si>
  <si>
    <t xml:space="preserve">Quel est le coefficient multiplicateur dans une augmentation de 20 % ? </t>
  </si>
  <si>
    <t>100 % + 20 % = 120 % Le coefficient est 1,2</t>
  </si>
  <si>
    <t>Quel est le coefficient multiplicateur dans une réduction de 60 % ?</t>
  </si>
  <si>
    <t>100 % - 60 % = 40 % Le coefficient est 0,4</t>
  </si>
  <si>
    <t>Quel est le coefficient multiplicateur dans une augmentation de 65 % ?</t>
  </si>
  <si>
    <t>100 % + 65 % = 165 % Le coefficient est 1,65</t>
  </si>
  <si>
    <t>Quel est le coefficient multiplicateur dans une réduction de 35 % ?</t>
  </si>
  <si>
    <t>100 % - 35 % = 65 % Le coefficient est 0,65</t>
  </si>
  <si>
    <t>Timothée décide de partager ses cartes pokemon à Elimane et César selon le ratio 6 : 2. Timothée a 40 cartes, combien doit-il en donner à Elimane et César ?</t>
  </si>
  <si>
    <t>Le ratio 6 : 2 revient au ratio 3 : 1, donc Elimane reçoit les 3/4 des cartes et César le quart restant. Elimane reçoit 30 cartes et César 10 cartes.</t>
  </si>
  <si>
    <t>RLD2</t>
  </si>
  <si>
    <t>30| cartes pour Elimane|10| cartes pour César</t>
  </si>
  <si>
    <t>Timothée décide de partager ses billes à Elimane et César selon le ratio 15 : 3. Timothée a 120 billes, combien doit-il en donner à Elimane et César ?</t>
  </si>
  <si>
    <t>Le ratio 15 : 3 revient au ratio 5 : 1, donc Elimane reçoit les 5/6 des cartes et César le sixième restant. Elimane reçoit 100 billes et César 20 billes</t>
  </si>
  <si>
    <t>100| billes pour Elimane|20| billes pour César</t>
  </si>
  <si>
    <t>Que signifie : 2 angles sont complémentaires ?</t>
  </si>
  <si>
    <t>Géométrie</t>
  </si>
  <si>
    <t>La somme de leur mesure est égale à 90°.</t>
  </si>
  <si>
    <t>90°</t>
  </si>
  <si>
    <t>Que signifie : 2 angles sont supplémentaires ?</t>
  </si>
  <si>
    <t>La somme de leur mesure est égale à 180°.</t>
  </si>
  <si>
    <t>180°</t>
  </si>
  <si>
    <t>Quelle est la définition d’un parallélogramme ?</t>
  </si>
  <si>
    <t>C’est un quadrilatère qui a ses côtés opposés 2 à 2 parallèles</t>
  </si>
  <si>
    <t>QCM</t>
  </si>
  <si>
    <t>C’est un quadrilatère qui a ses côtés opposés 2 à 2 parallèles|C’est un quadrilatère qui a ses 4 côtés de même longueur|C’est un quadrilatère qui a 4 angles droits.|C’est un quadrilatère qui a ses 4 côtés de même longueur et 4 angles droits.</t>
  </si>
  <si>
    <t>Quelle est la définition d’un losange ?</t>
  </si>
  <si>
    <t xml:space="preserve">C’est un quadrilatère qui a ses 4 côtés de même longueur </t>
  </si>
  <si>
    <t>C’est un quadrilatère qui a ses 4 côtés de même longueur|C’est un quadrilatère qui a 4 angles droits.|C’est un quadrilatère qui a ses 4 côtés de même longueur et 4 angles droits.|C’est un quadrilatère qui a ses côtés opposés 2 à 2 parallèles</t>
  </si>
  <si>
    <t>Quelle est la définition d’un rectangle ?</t>
  </si>
  <si>
    <t>C’est un quadrilatère qui a 4 angles droits.</t>
  </si>
  <si>
    <t>C’est un quadrilatère qui a 4 angles droits.|C’est un quadrilatère qui a ses 4 côtés de même longueur et 4 angles droits.|C’est un quadrilatère qui a ses côtés opposés 2 à 2 parallèles|C’est un quadrilatère qui a ses 4 côtés de même longueur</t>
  </si>
  <si>
    <t>Quelle est la définition d’un carré ?</t>
  </si>
  <si>
    <t>C’est un quadrilatère qui a ses 4 côtés de même longueur et 4 angles droits.</t>
  </si>
  <si>
    <t>C’est un quadrilatère qui a ses 4 côtés de même longueur et 4 angles droits.|C’est un quadrilatère qui a ses côtés opposés 2 à 2 parallèles|C’est un quadrilatère qui a ses 4 côtés de même longueur|C’est un quadrilatère qui a 4 angles droits.</t>
  </si>
  <si>
    <t>Combien vaut la somme des mesures des 3 angles d’un triangle ?</t>
  </si>
  <si>
    <t>ll vaut 180 °.</t>
  </si>
  <si>
    <t>Citer l’inégalité triangulaire : quand est-ce qu’un triangle est constructible ?</t>
  </si>
  <si>
    <t>La somme des longueurs des 2 plus petits côtés d’un triangle doit être supérieure à la longueur du plus grand côté.</t>
  </si>
  <si>
    <t xml:space="preserve"> La somme des longueurs des 2 plus petits côtés d’un triangle doit être supérieure à la longueur du plus grand côté.|La somme des longueurs des 2 côtés les plus longs doit être égale à la longueur du plus petit côté.|La somme des longueurs des 2 côtés les plus petits doit être inférieure à la longueur du plus grand côté.|La différence entre les longueurs des 2 plus grands côtés doit être inférieure à la longueur du plus petit côté.</t>
  </si>
  <si>
    <t xml:space="preserve">Quelle est la condition pour pouvoir appliquer le théorème de Pythagore ? </t>
  </si>
  <si>
    <t>Il faut se situer dans un triangle rectangle.</t>
  </si>
  <si>
    <t>Il faut se situer dans un triangle rectangle.|Il faut se situer dans un triangle isocèle.|Il faut se situer dans un triangle équilatéral.</t>
  </si>
  <si>
    <t>ABC est un triangle rectangle en C. Quelle est l’égalité de Pythagore ?</t>
  </si>
  <si>
    <t>AB² = AC² + BC²</t>
  </si>
  <si>
    <t xml:space="preserve">QCM </t>
  </si>
  <si>
    <t>AB² = AC² + BC²|AB² = AC² - BC²|AB² = BC² - AC²</t>
  </si>
  <si>
    <t>Quelle est la mesure de chaque angle dans un triangle équilatéral ?</t>
  </si>
  <si>
    <t>Elle vaut 60 °.</t>
  </si>
  <si>
    <t>60°</t>
  </si>
  <si>
    <t>ABC est un triangle rectangle en C. Quelle est la formule permettant de calculer le cosinus de l’angle  ABC ?</t>
  </si>
  <si>
    <t>cos (ABC) = BC / BA</t>
  </si>
  <si>
    <t>cos (ABC) = BC / BA|cos (ABC) = AC / BC|cos (ABC) = BA / BC</t>
  </si>
  <si>
    <t>ABC est un triangle rectangle en C. Quelle est la formule permettant de calculer le sinus de l’angle ABC?</t>
  </si>
  <si>
    <t>sin (ABC) = AC / BA</t>
  </si>
  <si>
    <t>sin (ABC) = AC / BA|sin (ABC) = BC / BA|sin (ABC) = BA / AC</t>
  </si>
  <si>
    <t>ABC est un triangle rectangle en C. Quelle est la formule permettant de calculer la tangente de l’angle ABC ?</t>
  </si>
  <si>
    <t>tan (ABC) = AC / BC</t>
  </si>
  <si>
    <t>tan (ABC) = AC / BC|tan (ABC) = BC / AC|tan (ABC) = BA / AC</t>
  </si>
  <si>
    <t>Quelle propriété possède 2 angles opposés par le sommet ?</t>
  </si>
  <si>
    <t>Ils sont de même mesure.</t>
  </si>
  <si>
    <t>Ils sont de même mesure.|Ils sont complémentaires.|Ils sont adjacents.</t>
  </si>
  <si>
    <t>Comment caractériser 2 angles alternes internes formés par 2 droites (d) et (d’) et la sécante (d’’) ?</t>
  </si>
  <si>
    <t>Les 2 angles sont entre (d) et (d’), ils sont de part et d’autre de la sécante ()′′) et ils n’ont pas le même sommet</t>
  </si>
  <si>
    <t>Les 2 angles sont entre (d) et (d’), ils sont de part et d’autre de la sécante (d’’) et ils n’ont pas le même sommet.|Les 2 angles sont sur le même côté de la sécante et ont le même sommet.|L’un des 2 angles est entre (d) et (d’) et l’autre est à l’extérieur, ils sont du même côté de la sécante (d’’) et ils n’ont pas le même sommet.</t>
  </si>
  <si>
    <t>Comment caractériser 2 angles correspondants formés par 2 droites (d) et (d’) et la sécante (d’’) ?</t>
  </si>
  <si>
    <t>L’un des 2 angles est entre (d) et (d’) et  l’autre est à l’extérieur, ils sont du même  côté de la sécante (d′′) et ils n’ont pas le même sommet.</t>
  </si>
  <si>
    <t>L’un des 2 angles est entre (d) et (d’) et l’autre est à l’extérieur, ils sont du même côté de la sécante (d’’) et ils n’ont pas le même sommet.|Les 2 angles sont entre (d) et (d’), ils sont de part et d’autre de la sécante (d’’) et ils n’ont pas le même sommet.|Les 2 angles sont sur le même sommet et même côté de la sécante.</t>
  </si>
  <si>
    <t xml:space="preserve">Les angles alternes internes ou correspondants sont-ils toujours de même mesure ? </t>
  </si>
  <si>
    <t>Non, il faut qu’ils soient formés par des droites parallèles.</t>
  </si>
  <si>
    <t>VF</t>
  </si>
  <si>
    <t>F</t>
  </si>
  <si>
    <t>Quelle est la définition de la médiatrice d’un segment ?</t>
  </si>
  <si>
    <t>C’est une droite qui passe par le milieu d’un segment perpendiculairement.</t>
  </si>
  <si>
    <t>C’est une droite qui passe par le milieu d’un segment perpendiculairement.|C’est une droite qui partage un angle en 2 angles adjacents de même mesure.|C’est une droite qui passe par un sommet du triangle et qui passe par le milieu de son côté opposé.</t>
  </si>
  <si>
    <t>Quelle est la définition de la bissectrice d’un angle ?</t>
  </si>
  <si>
    <t>C’est une droite qui partage un angle en 2 angles adjacents de même mesure.</t>
  </si>
  <si>
    <t>C’est une droite qui partage un angle en 2 angles adjacents de même mesure.|C’est une droite qui passe par un sommet du triangle et qui passe perpendiculairement au côté opposé.|C’est une droite qui passe par le milieu d’un segment perpendiculairement.</t>
  </si>
  <si>
    <t>Quelle est la définition de la hauteur d’un triangle ?</t>
  </si>
  <si>
    <t>C’est une droite qui passe par un sommet du triangle et qui passe perpendiculairement au côté opposé.</t>
  </si>
  <si>
    <t>C’est une droite qui passe par un sommet du triangle et qui passe perpendiculairement au côté opposé.|C’est une droite qui partage un angle en 2 angles adjacents de même mesure.|C’est une droite qui passe par le milieu d’un segment perpendiculairement.</t>
  </si>
  <si>
    <t>Quelle est la définition de la médiane d’un triangle ?</t>
  </si>
  <si>
    <t>C’est une droite qui passe par un sommet du triangle et qui passe par le milieu de son côté opposé.</t>
  </si>
  <si>
    <t>C’est une droite qui passe par un sommet du triangle et qui passe par le milieu de son côté opposé.|C’est une droite qui passe par un sommet du triangle et qui passe perpendiculairement au côté opposé.|C’est une droite qui passe par le milieu d’un segment perpendiculairement.</t>
  </si>
  <si>
    <t>Quelle est la définition précise d’un triangle isocèle ?</t>
  </si>
  <si>
    <t>C’est un polygone à 3 sommets (ou 3 côtés) qui a 2 côtés de même longueur.</t>
  </si>
  <si>
    <t>C’est un polygone à 3 sommets (ou 3 côtés) qui a 2 côtés de même longueur.|C’est un polygone à 3 côtés de même longueur.|C’est un polygone à 3 sommets dont tous les angles sont égaux.</t>
  </si>
  <si>
    <t>Quelle est la définition précise d’un triangle équilatéral ?</t>
  </si>
  <si>
    <t>C’est un polygone à 3 sommets (ou 3 côtés) qui a 3 côtés de même longueur.</t>
  </si>
  <si>
    <t>C’est un polygone à 3 sommets (ou 3 côtés) qui a 3 côtés de même longueur.|C’est un polygone avec 2 côtés égaux et un angle droit.|C’est un polygone avec un seul axe de symétrie.</t>
  </si>
  <si>
    <t>Citer les propriétés des triangles isocèles (axe(s) et centre de symétrie, côtés, angles)</t>
  </si>
  <si>
    <t>1 axe de symétrie : la médiatrice de sa base 0 centre de symétrie 2 côtés de même longueur 2 angles à sa base de même mesure</t>
  </si>
  <si>
    <t>1 axe de symétrie : la médiatrice de sa base 0 centre de symétrie 2 côtés de même longueur 2 angles à sa base de même mesure.|2 axes de symétrie : les médiatrices des côtés 1 centre de symétrie 2 côtés de même longueur 2 angles différents.|0 axe de symétrie 1 centre de symétrie 3 côtés de même longueur 3 angles de même mesure.|</t>
  </si>
  <si>
    <t>Citer les propriétés des triangles équilatéraux (axe(s) et centre de symétrie, côtés, angles)</t>
  </si>
  <si>
    <t>3 axes de symétrie : les médiatrices de ses côtés 0 centre de symétrie 3 côtés de même longueur 3 angles de même mesure</t>
  </si>
  <si>
    <t>3 axes de symétrie : les médiatrices de ses côtés 0 centre de symétrie 3 côtés de même longueur 3 angles de même mesure.|1 axe de symétrie 0 centre de symétrie 2 côtés de même longueur 2 angles de même mesure.|2 axes de symétrie : les diagonales 1 centre de symétrie 3 côtés de même longueur 3 angles différents.</t>
  </si>
  <si>
    <t>Citer les propriétés des rectangles (axe(s) et centre de symétrie, côtés, angles, diagonales)</t>
  </si>
  <si>
    <t>2 axes de symétrie : la médiatrice des côtés 1 centre de symétrie Côtés opposés 2 à 2 parallèles et de même longueur. 4 angles droits Diagonales qui se coupent en leur milieu et qui sont de même longueur</t>
  </si>
  <si>
    <t>2 axes de symétrie : la médiatrice des côtés 1 centre de symétrie Côtés opposés 2 à 2 parallèles et de même longueur 4 angles droits Diagonales qui se coupent en leur milieu et qui sont de même longueur.|1 axe de symétrie 0 centre de symétrie Côtés parallèles, mais de longueur différente 4 angles droits Diagonales qui se coupent en leur milieu, mais qui sont de longueurs différentes.|0 axe de symétrie 1 centre de symétrie Côtés opposés égaux 4 angles droits Diagonales perpendiculaires qui ne se coupent pas en leur milieu.</t>
  </si>
  <si>
    <t>Citer les propriétés d’un triangle rectangle (axe(s) et centre de symétrie, côtés, angles)</t>
  </si>
  <si>
    <t>0 axe de symétrie 0 centre de symétrie 0 côté de même longueur 1 angle droit</t>
  </si>
  <si>
    <t>0 axe de symétrie 0 centre de symétrie 0 côté de même longueur 1 angle droit.|1 axe de symétrie 0 centre de symétrie 2 côtés de même longueur 1 angle droit.|2 axes de symétrie 1 centre de symétrie 3 côtés de même longueur 3 angles droits.</t>
  </si>
  <si>
    <t>Citer les propriétés des losanges (axe(s) et centre de symétrie, côtés, angles, diagonales)</t>
  </si>
  <si>
    <t>2 axes de symétrie : les diagonales 1 centre de symétrie Côtés opposés 2 à 2 parallèles. 4 côtés de même longueur Diagonales qui se coupent en leur milieu et qui sont perpendiculaires</t>
  </si>
  <si>
    <t>2 axes de symétrie : les diagonales 1 centre de symétrie Côtés opposés 2 à 2 parallèles 4 côtés de même longueur Diagonales qui se coupent en leur milieu et qui sont perpendiculaires.|2 axes de symétrie : les médiatrices des côtés 0 centre de symétrie Côtés opposés de longueurs différentes Diagonales perpendiculaires qui ne se coupent pas en leur milieu.|1 axe de symétrie 1 centre de symétrie Côtés opposés parallèles, mais de longueurs différentes 4 côtés de même longueur Diagonales qui ne sont pas perpendiculaires.</t>
  </si>
  <si>
    <t>Citer les propriétés des carrés (axe(s) et centre de symétrie, côtés, angles, diagonales)</t>
  </si>
  <si>
    <t>4 axes de symétrie : la médiatrice des côtés et les diagonales 1 centre de symétrie Côtés opposés 2 à 2 parallèles 4 côtés de même longueur Les diagonales se coupent en leur milieu, sont de même longueur et sont perpendiculaires 4 angles droits</t>
  </si>
  <si>
    <t>4 axes de symétrie : la médiatrice des côtés et les diagonales 1 centre de symétrie Côtés opposés 2 à 2 parallèles 4 côtés de même longueur Diagonales perpendiculaires de même longueur qui se coupent en leur milieu 4 angles droits.|2 axes de symétrie : la diagonale et la médiatrice 1 centre de symétrie Côtés opposés parallèles, mais de longueurs différentes 4 angles droits Diagonales perpendiculaires qui ne se coupent pas en leur milieu.|1 axe de symétrie 0 centre de symétrie Côtés égaux 3 angles droits Diagonales qui se coupent en leur milieu, mais qui sont de longueurs différentes.</t>
  </si>
  <si>
    <t>Citer les propriétés des parallélogrammes (axe(s) et centre de symétrie, côtés, angles, diagonales)</t>
  </si>
  <si>
    <t>0 axe de symétrie 1 centre de symétrie Côtés opposés 2 à 2 parallèles et de même longueur. Diagonales qui se coupent en leur milieu</t>
  </si>
  <si>
    <t>0 axe de symétrie 1 centre de symétrie Côtés opposés 2 à 2 parallèles et de même longueur Diagonales qui se coupent en leur milieu.|1 axe de symétrie 0 centre de symétrie Côtés opposés parallèles, mais de longueurs différentes Diagonales qui ne se coupent pas en leur milieu.|2 axes de symétrie 1 centre de symétrie Côtés opposés 2 à 2 parallèles, mais de longueurs différentes Diagonales de longueurs égales qui ne se coupent pas.</t>
  </si>
  <si>
    <t>Que faut-il au losange pour obtenir un carré ?</t>
  </si>
  <si>
    <t>Le losange doit avoir un 1 angle droit ou des diagonales de même longueur</t>
  </si>
  <si>
    <t>Le losange doit avoir 1 angle droit ou des diagonales de même longueur.|Le losange doit avoir 2 angles droits et des côtés de même longueur.|Le losange doit avoir 3 angles droits et des diagonales perpendiculaires.</t>
  </si>
  <si>
    <t>Sachant que (EF) et (GH) sont parallèles, quels sont les quotients de Thalès associés à cette figure ?</t>
  </si>
  <si>
    <t>DF/DG = DE/DH = EF/GH</t>
  </si>
  <si>
    <t>DF/DG = DE/DH = EF/GH|DF/DH = DE/DG = EF/GH|DF/DE = DG/DH = EF/GH</t>
  </si>
  <si>
    <t>oui</t>
  </si>
  <si>
    <t>Sachant que (EC) et (AB) sont parallèles, quels sont les quotients de Thalès associés à cette figure ?</t>
  </si>
  <si>
    <t>DB/DC = DA/DE = AB/EC</t>
  </si>
  <si>
    <t>DB/DC = DA/DE = AB/EC|DB/DE = DA/DC = AB/EC|DA/DB = DC/DE = AB/EC</t>
  </si>
  <si>
    <t>(EF) et (GH) sont-elles parallèles ?</t>
  </si>
  <si>
    <t>3/5 = 0,6 et 4/6 ≈ 0,6 Les quotients ne sont pas égaux donc les droites ne sont pas parallèles.</t>
  </si>
  <si>
    <t>3/5 = 0,6 et 6/10 = 0,6 Les quotients sont égaux donc les droites sont parallèles.</t>
  </si>
  <si>
    <t>V</t>
  </si>
  <si>
    <t>(AB) et (EC) sont-elles parallèles ?</t>
  </si>
  <si>
    <t>3/9 = 1/3 et 18/6 = 3 Les quotients ne sont pas égaux donc les parallèles ne sont pas parallèles.</t>
  </si>
  <si>
    <t>3/9 = 1/3 et 6/18 = 1/3 Les quotients sont égaux donc les droites sont parallèles.</t>
  </si>
  <si>
    <t>Citer la formule pour calculer le périmètre d’un disque</t>
  </si>
  <si>
    <t>2 x π x rayon</t>
  </si>
  <si>
    <t>2 x π x rayon|π x rayon^2|2 x π x diamètre</t>
  </si>
  <si>
    <t>Quelle est la définition de 2 triangles égaux ?</t>
  </si>
  <si>
    <t>Deux triangles sont égaux s’ils ont les longueurs des côtés homologues sont de même mesure.</t>
  </si>
  <si>
    <t>Deux triangles sont égaux s’ils ont les longueurs des côtés homologues sont de même mesure.|Deux triangles sont égaux s’Ils ont les côtés non égaux mais les mêmes angles.|Deux triangles sont égaux s’Ils ont les angles opposés égaux.</t>
  </si>
  <si>
    <t>Sachant que (EF) et (GH) sont parallèles, quelle est la longueur DH ?</t>
  </si>
  <si>
    <t xml:space="preserve"> DF/DG = DE/DH = EF/GH  2/6 = 1,2/DH  DH = 3,6</t>
  </si>
  <si>
    <t>Sachant que (EF) et (GH) sont parallèles, quelle est la longueur DG ?</t>
  </si>
  <si>
    <t xml:space="preserve"> DF/DG = DE/DH = EF/GH  0,6/DG = 3/11  DG = 2,2</t>
  </si>
  <si>
    <t>Sachant que (EF) et (GH) sont parallèles, quelle est la longueur EF ?</t>
  </si>
  <si>
    <t xml:space="preserve"> DF/DG = DE/DH = EF/GH  EF/3 = 10,5/15  EF = 2,1</t>
  </si>
  <si>
    <t>Sachant que (EF) et (GH) sont parallèles, quelle est la longueur GH ?</t>
  </si>
  <si>
    <t xml:space="preserve"> DF/DG = DE/DH = EF/GH  1,1/GH = 4,4/16  GH = 4</t>
  </si>
  <si>
    <t>Sachant que (AB) et (EC) sont parallèles, quelle est la longueur ED ?</t>
  </si>
  <si>
    <t>DB/DC = DA/DE = AB/EC  3/8 = 18/DE  DE = 48</t>
  </si>
  <si>
    <t>Sachant que (AB) et (EC) sont parallèles, quelle est la longueur EC ?</t>
  </si>
  <si>
    <t>DB/DC = DA/DE = AB/EC  4/5 = 08/CE  CE = 12,5</t>
  </si>
  <si>
    <t>Peut-on appliquer le théorème de Thalès ? Justifier. Si oui, quels sont les quotients égaux ?</t>
  </si>
  <si>
    <t>Oui car si 2 droites sont perpendiculaires  à une même droite alors elles sont  parallèles entre elles. Ici, (MN) et (AB) sont perpendiculaires à (AN) donc :  (MN) // (AB)  ON/OA = OM/OB= MN/AB</t>
  </si>
  <si>
    <t>Non On ne sait pas si (AB) et (EC) sont parallèles.</t>
  </si>
  <si>
    <t>Quelle est la longueur MN ?</t>
  </si>
  <si>
    <t>On utilise le théorème de Pythagore dans le triangle MNO rectangle en N : MO² = MN² + NO² MN² = 62 – 42 MN² = 36 – 16 = 20 MN = √20</t>
  </si>
  <si>
    <t>√20</t>
  </si>
  <si>
    <t>Quelle est la longueur AB ?</t>
  </si>
  <si>
    <t>(MN) et (AB) sont perpendiculaires à (NA) donc (MN)//(AB) On utilise le théorème de Thalès: OB = 42 On utilise le théorème de Pythagore dans le triangle ABO rectangle en A : BO² = OA² + AB² AB² = 42²– 28² AB² = 980 AB = √980</t>
  </si>
  <si>
    <t>√980</t>
  </si>
  <si>
    <t>Quelle est la mesure de l’angle MON arrondie au degré ?</t>
  </si>
  <si>
    <t>On utilise la formule du cosinus d’un angle dans le triangle MNO rectangle en N : cos(MON)= NO/MO = 4/6   MON=cos^−1(4/6 )≈-48°</t>
  </si>
  <si>
    <t>48|48°</t>
  </si>
  <si>
    <t>Quelle est la mesure de l’angle NMO arrondie au degré ?</t>
  </si>
  <si>
    <t>On utilise la formule du sinus d’un angle dans le triangle MNO rectangle en N : sin(OMN)= NO/MO = 4/6   OMN=sin^−1(4/6 )≈-42°</t>
  </si>
  <si>
    <t>42|42°</t>
  </si>
  <si>
    <t>On se place dans un triangle rectangle. Parmi ces résultats, lesquels sont impossibles ? a/ cos (angle) ≈ 1,4 b/ cos (105) c/ cos (angle) ≈ - 0,5 d/ cos (angle) ≈ 0,99</t>
  </si>
  <si>
    <t>Réponses a/, b/ c/ car : a/ et c/ car le cosinus d’un angle est compris entre 0 et 1 inclus. b/ Dans un triangle rectangle, les angles sont aigus donc les angles doivent être inférieurs ou égaux à 90°</t>
  </si>
  <si>
    <t>a/, b/ c/|a/, b/ d/|b/, c/ d/</t>
  </si>
  <si>
    <t>Voici l’extrait du tableur dans le logiciel de géométrie géogebra. Que faut-il saisir comme formule dans B2 et dans B3 ?</t>
  </si>
  <si>
    <t>On saisit dans B2 : = YL / LS On saisit dans B3 : = YS / SL</t>
  </si>
  <si>
    <t>On saisit dans B2 : = YL / LS, dans B3 : = YS / SL|On saisit dans B2 : = LS / YL, dans B3 : = SL / YS|On saisit dans B2 : = YL * LS, dans B3 : = YS * SL</t>
  </si>
  <si>
    <t>Déterminer l’arrondi au mm près de DB.</t>
  </si>
  <si>
    <t xml:space="preserve">On utilise la formule du cosinus d’un angle dans le triangle ABD rectangle en A : cos(61)= 72/DB  DB = 72/cos (61)   DB ≈ 148,5 mm </t>
  </si>
  <si>
    <t>148,5 mm|72/cos(61) mm</t>
  </si>
  <si>
    <t>Déterminer l’arrondi au mm près de AB</t>
  </si>
  <si>
    <t xml:space="preserve">On utilise la formule de la tangente d’un angle dans le triangle ABD rectangle en A : tan(61)= AB/78  AB=72 ×tan (61)   AB ≈ 130 mm </t>
  </si>
  <si>
    <t>130 mm|78 * tan(61) mm |78 x tan(61) mm |78 × tan(61) mm</t>
  </si>
  <si>
    <t>Comment s’appellent ces lignes imaginaires ?</t>
  </si>
  <si>
    <t>Géométrie dans l’espace</t>
  </si>
  <si>
    <t>Ce sont des méridiens.</t>
  </si>
  <si>
    <t>Ce sont des méridiens.|Ce sont des parallèles.| Ce sont des longitudes.</t>
  </si>
  <si>
    <t>Comment s’appelle la mesure indiquée sur ces lignes imaginaires ?</t>
  </si>
  <si>
    <t>Il s’agit de la longitude</t>
  </si>
  <si>
    <t>Il s’agit de la longitude.|Il s’agit de la latitude.|Il s’agit de l'altitude.</t>
  </si>
  <si>
    <t>Comment s’appelle le méridien qui a pour longitude 0° ?</t>
  </si>
  <si>
    <t>C’est le méridien de Greenwich</t>
  </si>
  <si>
    <t>C’est le méridien de Greenwich.|C’est l’équateur.|C’est le méridien de Paris.</t>
  </si>
  <si>
    <t>Ce sont des parallèles</t>
  </si>
  <si>
    <t>Ce sont des parallèles.|Ce sont des méridiens.|Ce sont des axes.</t>
  </si>
  <si>
    <t>Comment s’appelle la parallèle qui a pour latitude 0° ?</t>
  </si>
  <si>
    <t>C’est l’équateur</t>
  </si>
  <si>
    <t>C’est l’équateur.|C’est le tropique du Cancer.|C’est la parallèle de Greenwich.</t>
  </si>
  <si>
    <t>Les lieux situés sur le même méridien ont la même longitude. Vrai ou faux ?</t>
  </si>
  <si>
    <t>Les lieux situés sur la même parallèle ont la même longitude. Vrai ou faux ?</t>
  </si>
  <si>
    <t>Faux, ils ont la même latitude</t>
  </si>
  <si>
    <t>Quelles sont les coordonnées de ce point ?</t>
  </si>
  <si>
    <t>(60° E ; 40° N)</t>
  </si>
  <si>
    <t>(60° E ; 40° N)|(40° E ; 60° N)|(60° O ; 40° S)</t>
  </si>
  <si>
    <t>(60° E; 40° S)</t>
  </si>
  <si>
    <t>(60° E ; 40° S)|(40° E ; 60° S)|(60° E ; 40° N)</t>
  </si>
  <si>
    <t>Quelles sont les coordonnées  de ce point ?</t>
  </si>
  <si>
    <t>(30° O; 60° S)</t>
  </si>
  <si>
    <t>(30° O ; 60° S)|(60° O ; 30° S)|(30° O ; 60° N)</t>
  </si>
  <si>
    <t>(0° ; 20° N)</t>
  </si>
  <si>
    <t>(0° ; 20° N)|(20° O ;0° S)|(0° ;20° S)</t>
  </si>
  <si>
    <t>Quelles sont les coordonnées du point D?</t>
  </si>
  <si>
    <t>D (0 ; 0 ; 2)</t>
  </si>
  <si>
    <t>D (0 ; 0 ; 2)|D (0 ; 2 ; 0)|D (2 ; 0 ; 0)</t>
  </si>
  <si>
    <t>Quelles sont les coordonnées du point B?</t>
  </si>
  <si>
    <t>B (3 ; 0 ; 0)</t>
  </si>
  <si>
    <t>B (3 ; 0 ; 0)|B (0 ; 3 ; 0)|B (0 ; 0 ; 3)</t>
  </si>
  <si>
    <t>Quelles sont les coordonnées du point E?</t>
  </si>
  <si>
    <t>E (0 ; 4 ; 0)</t>
  </si>
  <si>
    <t>E (0 ; 4 ; 0)|E (4 ; 0 ; 0)|E (0 ; 0 ; 4)</t>
  </si>
  <si>
    <t>Quelles sont les coordonnées du point F?</t>
  </si>
  <si>
    <t>F (3 ; 0 ; 2)</t>
  </si>
  <si>
    <t>F (3 ; 0 ; 2)|F (2 ; 0 ; 3)|F (0 ; 3 ; 2)</t>
  </si>
  <si>
    <t>Quelles sont les coordonnées du point G?</t>
  </si>
  <si>
    <t>G (3 ; 4 ; 2)</t>
  </si>
  <si>
    <t>G (3 ; 4 ; 2)|G (4 ; 3 ; 2)|G (2 ; 3 ; 4)</t>
  </si>
  <si>
    <t>Qu’est-ce qu’un parallélépipède rectangle ?</t>
  </si>
  <si>
    <t>C’est un solide à 6 faces rectangulaires dont les faces opposées sont superposables.</t>
  </si>
  <si>
    <t>C’est un solide à 6 faces rectangulaires dont les faces opposées sont superposables.|C’est un solide à 6 faces carrées, dont toutes les faces sont de même dimension.|C’est un solide à 6 faces triangulaires.</t>
  </si>
  <si>
    <t>Qu’est-ce qu’un prisme droit ?</t>
  </si>
  <si>
    <t>C’est un solide possédant 2 bases polygonales superposables et dont les faces latérales sont des rectangles.</t>
  </si>
  <si>
    <t>C’est un solide avec 2 bases polygonales superposables et des faces latérales rectangulaires.|C’est un solide avec 2 bases circulaires superposables et des faces latérales rectangulaires.|C’est un solide avec 1 base polygonale et des faces latérales triangulaires.</t>
  </si>
  <si>
    <t>Qu’est-ce qu’un cube ?</t>
  </si>
  <si>
    <t>C’est un solide possédant 6 faces carrées de même dimension.</t>
  </si>
  <si>
    <t>C’est un solide à 6 faces carrées, toutes de même dimension.|C’est un solide à 6 faces rectangulaires, dont les faces opposées sont superposables.|C’est un solide à 6 faces triangulaires, toutes de même dimension.</t>
  </si>
  <si>
    <t>Qu’est-ce qu’un cylindre ?</t>
  </si>
  <si>
    <t>C’est un solide possédant 2 bases opposées qui sont des disques de même rayon et dont la face latérale est un rectangle.</t>
  </si>
  <si>
    <t>C’est un solide avec 2 bases circulaires de même rayon et une face latérale rectangulaire.|C’est un solide avec 2 bases rectangulaires de même dimension et une face latérale rectangulaire.|C’est un solide avec 1 base polygonale et des faces latérales triangulaires.</t>
  </si>
  <si>
    <t>Qu’est-ce qu’une pyramide ?</t>
  </si>
  <si>
    <t>C’est un solide possédant 1 base polygonale et dont les faces latérales sont des triangles ayant un sommet commun.</t>
  </si>
  <si>
    <t>C’est un solide avec 1 base polygonale et des faces latérales triangulaires convergeant vers un sommet.|C’est un solide avec 1 base circulaire et des faces latérales rectangulaires convergeant vers un sommet.|C’est un solide avec 2 bases polygonales superposables et des faces latérales rectangulaires.</t>
  </si>
  <si>
    <t>Qu’est-ce qu’un cône ?</t>
  </si>
  <si>
    <t>C’est un solide possédant 1 base qui est un disque et 1 face latérale qui est un secteur de disque.</t>
  </si>
  <si>
    <t>C’est un solide avec 1 base circulaire et une face latérale formant un secteur de disque.|C’est un solide avec 2 bases circulaires et une face latérale rectangulaire.|C’est un solide avec 1 base polygonale et des faces latérales triangulaires convergeant vers un sommet.</t>
  </si>
  <si>
    <t>Quelle formule permet de calculer le volume d’un pavé droit ?</t>
  </si>
  <si>
    <t>Longueur x largeur x hauteur</t>
  </si>
  <si>
    <t>Longueur x largeur x hauteur|Aire de la base x hauteur|(π x rayon² x hauteur) / 3</t>
  </si>
  <si>
    <t>Quelle formule permet de calculer le volume d’un prisme droit ?</t>
  </si>
  <si>
    <t>Aire de la base du prisme x hauteur</t>
  </si>
  <si>
    <t>Aire de la base du prisme x hauteur|Longueur x largeur x hauteur|(π x rayon² x hauteur)</t>
  </si>
  <si>
    <t>Comment s’appelle la mesure de l’angle qui permet de situer un point sur une parallèle ?</t>
  </si>
  <si>
    <t>C’est une latitude</t>
  </si>
  <si>
    <t>C’est une latitude|C’est une longitude|C’est une altitude</t>
  </si>
  <si>
    <t>Quelle est la section d’un cylindre par un plan parallèle à son axe ? Donner les caractéristiques connues.</t>
  </si>
  <si>
    <t>C’est un rectangle de longueur correspond à la hauteur du cylindre</t>
  </si>
  <si>
    <t>C’est un rectangle dont la longueur correspond à la hauteur du cylindre|C’est un disque dont le diamètre est égal à celui de la base du cylindre|C’est un triangle équilatéral</t>
  </si>
  <si>
    <t>Quelle est la section d’une pyramide par un plan parallèle à sa base pentagonale ? Donner les caractéristiques connues.</t>
  </si>
  <si>
    <t>C’est une réduction de sa base soit un pentagone</t>
  </si>
  <si>
    <t>C’est une réduction de sa base soit un pentagone|C’est un triangle équilatéral|C’est un rectangle dont une dimension correspond à la hauteur de la pyramide</t>
  </si>
  <si>
    <t>Quelle est la section d’un cône par un plan parallèle à sa base ? Donner les caractéristiques connues.</t>
  </si>
  <si>
    <t>C’est une réduction de sa base soit un disque</t>
  </si>
  <si>
    <t>C’est une réduction de sa base soit un disque|C’est un rectangle|C’est un triangle isocèle</t>
  </si>
  <si>
    <t>Quelle est la section d’un cylindre par un plan perpendiculaire à son axe ? Donner les caractéristiques connues.</t>
  </si>
  <si>
    <t>C’est un disque de même rayon que celui de la base du cylindre</t>
  </si>
  <si>
    <t>C’est un disque de même rayon que celui de la base du cylindre|C’est un rectangle dont la longueur est la hauteur du cylindre|C’est un triangle rectangle</t>
  </si>
  <si>
    <t>Quelle est la section d’une sphère par un plan passant par son centre ? Donner les caractéristiques connues.</t>
  </si>
  <si>
    <t>C’est un disque de même rayon que celui de la sphère</t>
  </si>
  <si>
    <t>C’est un disque de même rayon que la sphère|C’est un rectangle dont une dimension correspond à la hauteur de la sphère|C’est un triangle équilatéral</t>
  </si>
  <si>
    <t>Quelle est la section d’un pavé droit par un plan parallèle à une arête ? Donner les caractéristiques connues.</t>
  </si>
  <si>
    <t>C’est un rectangle dont l’une des dimensions est la longueur de cette arête</t>
  </si>
  <si>
    <t>C’est un rectangle dont l’une des dimensions est la longueur de cette arête|C’est un disque dont le rayon est égal à celui de la base|C’est un triangle équilatéral</t>
  </si>
  <si>
    <t>Quelle est la section d’un pavé droit par un plan parallèle à une face ? Donner les caractéristiques connues.</t>
  </si>
  <si>
    <t>C’est un rectangle qui a les mêmes dimensions que cette face.</t>
  </si>
  <si>
    <t>C’est un rectangle qui a les mêmes dimensions que cette face|C’est un disque dont le rayon est égal à celui de la base|C’est un triangle isocèle</t>
  </si>
  <si>
    <t>Qu’est-ce qu’une sphère ?</t>
  </si>
  <si>
    <t>C’est un solide constitué de l’ensemble des points situés à une même distance du centre.</t>
  </si>
  <si>
    <t>C’est un solide constitué de l’ensemble des points situés à une même distance du centre|C’est un solide à 6 faces carrées de même dimension|C’est un solide dont la base est un disque et la face latérale est un rectangle</t>
  </si>
  <si>
    <t>Quelle formule permet de calculer le volume d’un cône ?</t>
  </si>
  <si>
    <t>(π x rayon² x hauteur) / 3|Aire de la base x hauteur|Longueur x largeur x hauteur</t>
  </si>
  <si>
    <t>Quelle formule permet de calculer le volume d’une pyramide ?</t>
  </si>
  <si>
    <t>(aire de la base x hauteur) / 3</t>
  </si>
  <si>
    <t>(Aire de la base x hauteur) / 3|(π x rayon² x hauteur) / 3|Longueur x largeur x hauteur</t>
  </si>
  <si>
    <t xml:space="preserve">Quelle formule permet de calculer le volume d’une boule ? </t>
  </si>
  <si>
    <t>(π x rayon x rayon x rayon x 4) / 3</t>
  </si>
  <si>
    <t>(π x rayon x rayon x rayon x 4) / 3|(π x rayon³)/(3 x 4)|(Aire de la base x hauteur) / 3</t>
  </si>
  <si>
    <t>Quelle formule permet de calculer le volume d’un cylindre ?</t>
  </si>
  <si>
    <t>π x rayon x rayon x hauteur</t>
  </si>
  <si>
    <t>π x rayon² x hauteur|π x rayon³|Aire de la base x hauteur²</t>
  </si>
  <si>
    <t>Quelle formule permet de calculer le volume d’un cube ?</t>
  </si>
  <si>
    <t>Arête x arête x arête</t>
  </si>
  <si>
    <t>Arête³|Longueur³|Aire de la base³</t>
  </si>
  <si>
    <t>Combien de faces latérales possède la pyramide à base octogonale ?</t>
  </si>
  <si>
    <t>Autant de côtés sur sa base soit 8.</t>
  </si>
  <si>
    <t>8|8 côtés|8 coté|</t>
  </si>
  <si>
    <t>Combien de sommet(s) possède la sphère de centre O ?</t>
  </si>
  <si>
    <t xml:space="preserve">Combien de sommets possède la pyramide à base heptagonale ? </t>
  </si>
  <si>
    <t>7 sommets sur sa base et 1 sommet principal soit 8</t>
  </si>
  <si>
    <t>8| 8 sommets</t>
  </si>
  <si>
    <t>Combien de sommets possède le prisme droit à base hexagonale ?</t>
  </si>
  <si>
    <t xml:space="preserve">6 sommets x 2 bases soit 12 </t>
  </si>
  <si>
    <t>12|12 sommets</t>
  </si>
  <si>
    <t>Combien de faces possède le prisme droit à base décagonale ?</t>
  </si>
  <si>
    <t>10 faces latérales + 2 bases soit 12</t>
  </si>
  <si>
    <t>Quel est le volume exact du cône dont sa base a pour rayon 10 cm et sa hauteur 30 cm ?</t>
  </si>
  <si>
    <t xml:space="preserve">1000π|1000π cm³ </t>
  </si>
  <si>
    <t>Quel est le volume exact de la sphère de rayon 30 cm ?</t>
  </si>
  <si>
    <t xml:space="preserve">(π × 30 × 30 × 30 x 4)/3  donc 36 000π cm³ </t>
  </si>
  <si>
    <t xml:space="preserve">36000π|36000π cm³ </t>
  </si>
  <si>
    <t>Quel est le volume exact de la pyramide à base carrée de longueur de côté 5 cm et de hauteur 6 cm ?</t>
  </si>
  <si>
    <t xml:space="preserve">(5  × 5 × 6)/3  donc 50 π cm³ </t>
  </si>
  <si>
    <t xml:space="preserve">50π|50π cm³ </t>
  </si>
  <si>
    <t>Quel est le volume exact du cylindre de diamètre 8 cm et de hauteur 2 cm ?</t>
  </si>
  <si>
    <t xml:space="preserve">32π|32π cm³ </t>
  </si>
  <si>
    <t>Quel est le volume exact du prisme droit dont la hauteur mesure 2 cm et dont la base est un triangle rectangle dont les dimensions sont 3cm, 4 cm et 5 cm ?</t>
  </si>
  <si>
    <t xml:space="preserve">(3 × 4)/2 x 2  donc 12 cm³ </t>
  </si>
  <si>
    <t xml:space="preserve">12|12 cm³ </t>
  </si>
  <si>
    <t>Quel est le nom de ce solide ? Et donner la nature de sa base</t>
  </si>
  <si>
    <t>C’est une pyramide. Sa base est un parallélogramme.</t>
  </si>
  <si>
    <t>C’est une pyramide. Sa base est un parallélogramme.|C’est un prisme droit. Sa base est un triangle.|C’est un prisme droit. Sa base est un rectangle.</t>
  </si>
  <si>
    <t>C’est une pyramide. Sa base est un hexagone.</t>
  </si>
  <si>
    <t>C’est une pyramide. Sa base est un hexagone.|C’est un cône. Sa base est un disque.|C’est un prisme. Sa base est un pentagone.</t>
  </si>
  <si>
    <t>C’est un tétraèdre ou une pyramide. Sa base est un triangle.</t>
  </si>
  <si>
    <t>C’est un tétraèdre. Sa base est un triangle.|C’est une pyramide. Sa base est un quadrilatère.|C’est un cône. Sa base est un disque.</t>
  </si>
  <si>
    <t>C’est un cône. Sa base est un disque.</t>
  </si>
  <si>
    <t>C’est un cône. Sa base est un disque.|C’est un cylindre. Sa base est un cercle.|C’est un prisme. Sa base est un triangle.</t>
  </si>
  <si>
    <t>Quel est le nom de ce solide ? Et donner la nature de ses bases</t>
  </si>
  <si>
    <t>C’est un cylindre. Ses bases sont des disques.</t>
  </si>
  <si>
    <t>C’est un cylindre. Ses bases sont des disques.|C’est un prisme droit. Ses bases sont des rectangles.|C’est une pyramide. Ses bases sont des triangles.</t>
  </si>
  <si>
    <t>C’est un prisme droit. Ses bases sont des triangles.</t>
  </si>
  <si>
    <t>C’est un prisme droit. Ses bases sont des triangles.|C’est un prisme droit. Ses bases sont des quadrilatères.|C’est un prisme droit. Ses bases sont des hexagones.</t>
  </si>
  <si>
    <t>C’est un prisme droit. Ses bases sont des quadrilatères.</t>
  </si>
  <si>
    <t>C’est un prisme droit. Ses bases sont des quadrilatères.|C’est un prisme droit. Ses bases sont des hexagones.|C’est un prisme droit. Ses bases sont des triangles.</t>
  </si>
  <si>
    <t>C’est un prisme droit. Ses bases sont des hexagones.</t>
  </si>
  <si>
    <t>C’est un prisme droit. Ses bases sont des hexagones.|C’est un prisme droit. Ses bases sont des quadrilatères.|C’est un prisme droit. Ses bases sont des triangles.</t>
  </si>
  <si>
    <t>Soit le point A et son symétrique A’ par rapport à la droite (d). Que représente la droite (d) par rapport à [AA’] ?</t>
  </si>
  <si>
    <t>Transformation</t>
  </si>
  <si>
    <t>(d) est la médiatrice de [AA’]. C’est-à-dire qu’elle passe par le milieu de [AA’] perpendiculairement.</t>
  </si>
  <si>
    <t>(d) est la médiatrice de [AA’].|(d) est une parallèle à [AA’].|(d) est une tangente à [AA’].</t>
  </si>
  <si>
    <t>Soit le point A et son symétrique A’ par rapport au centre O. Que représente le point 0 par rapport à [AA’] ?</t>
  </si>
  <si>
    <t>Le point O est le milieu de [AA’]</t>
  </si>
  <si>
    <t>Le point O est le milieu de [AA’].|Le point O est un sommet de [AA’].|Le point O est une extrémité de [AA’].</t>
  </si>
  <si>
    <t>Comment vérifier que 2 figures sont symétriques par rapport à une droite (d) ?</t>
  </si>
  <si>
    <t>On plie le long de l’axe (d) et les 2 figures doivent se superposer.</t>
  </si>
  <si>
    <t>On plie le long de l’axe (d), et les deux figures doivent se superposer.|On effectue une rotation d’angle 90° autour de (d).|On traduit les deux figures selon une droite parallèle à (d).</t>
  </si>
  <si>
    <t>Comment vérifier que 2 figures sont symétriques par rapport à un point 0 ?</t>
  </si>
  <si>
    <t>On effectue un demi-tour autour de ce point O et les 2 figures doivent se superposer.</t>
  </si>
  <si>
    <t>On effectue un demi-tour autour de ce point O, et les deux figures doivent se superposer.|On plie les figures le long d’un axe passant par O.|On effectue une translation de la figure autour de O.</t>
  </si>
  <si>
    <t>Que faut-il annoncer pour définir une rotation ?</t>
  </si>
  <si>
    <t>Il faut un centre, un angle et un sens de rotation</t>
  </si>
  <si>
    <t>Un centre, un angle et un sens de rotation.|Un centre, une direction et une longueur.|Un axe, une longueur et un rapport d’homothétie.</t>
  </si>
  <si>
    <t>Que faut-il annoncer pour définir une translation ?</t>
  </si>
  <si>
    <t>Il faut un une direction de déplacement, une longueur de déplacement et un sens de déplacement. Il est souvent traduit par une flèche</t>
  </si>
  <si>
    <t>Une direction, une longueur et un sens de déplacement.|Un centre, un angle et un sens de rotation.|Un axe et un rapport de réduction.</t>
  </si>
  <si>
    <t>Quel effet a une homothétie de rapport 2 sur une figure ?</t>
  </si>
  <si>
    <t>La figure est agrandie, toutes les dimensions  sont multipliées par 2.</t>
  </si>
  <si>
    <t>La figure est agrandie, toutes les dimensions sont multipliées par 2.|La figure est réduite, toutes les dimensions sont divisées par 2.|La figure est retournée, sans changement de taille.</t>
  </si>
  <si>
    <t>Quel effet a une homothétie de rapport 0,5 sur une figure ?</t>
  </si>
  <si>
    <t>La figure est réduite, toutes les dimensions sont divisées par 2.</t>
  </si>
  <si>
    <t>La figure est réduite, toutes les dimensions sont divisées par 2.|La figure est agrandie, toutes les dimensions sont multipliées par 2.|La figure est retournée, toutes les dimensions sont divisées par 1/2.</t>
  </si>
  <si>
    <t>Quel effet a une homothétie de rapport - 2 sur une figure ?</t>
  </si>
  <si>
    <t>La figure est agrandie mais retournée (rotation d’angle 180°) et toutes les dimensions sont multipliées par 2.</t>
  </si>
  <si>
    <t>La figure est agrandie mais retournée, avec toutes les dimensions multipliées par 2.|La figure est réduite et retournée, toutes les dimensions sont divisées par 2.|La figure est déplacée, sans changement de taille.</t>
  </si>
  <si>
    <t>Quel effet a une homothétie de rapport 1 sur une figure ?</t>
  </si>
  <si>
    <t>Aucun, c’est la même figure, sans être déplacée.</t>
  </si>
  <si>
    <t>Aucun effet, c’est la même figure, sans déplacement.|La figure est agrandie.|La figure est retournée, mais garde la même taille.</t>
  </si>
  <si>
    <t>Quel effet a une homothétie de rapport – 0,25 sur une figure ?</t>
  </si>
  <si>
    <t>La figure est réduite mais retournée (rotation d’angle 180°) et toutes les Dimensions sont divisées par 4.</t>
  </si>
  <si>
    <t>La figure est réduite mais retournée, toutes les dimensions sont divisées par 4.|La figure est agrandie, toutes les dimensions sont multipliées par 4.|La figure est réduite sans être retournée.</t>
  </si>
  <si>
    <t>Quel effet a une homothétie de rapport - 1 sur une figure ?</t>
  </si>
  <si>
    <t>C’est la même figure, mais elle est retournée (rotation d’angle 180°)</t>
  </si>
  <si>
    <t>La figure est retournée, mais garde la même taille.|La figure est agrandie et retournée.|La figure est réduite, sans retournement.</t>
  </si>
  <si>
    <t>Comment différencier une homothétie qui agrandit, d’une homothétie qui réduit une figure ?</t>
  </si>
  <si>
    <t>Le rapport d’un agrandissement est supérieur strictement à 1 ou inférieur strictement à -1. Alors que le rapport d’une réduction est compris entre 0 et 1 strictement ou strictement compris entre -1 et 0.</t>
  </si>
  <si>
    <t>Une homothétie agrandit si le rapport est supérieur à 1 ou inférieur à -1, et réduit si le rapport est entre 0 et 1 ou entre -1 et 0.|Une homothétie agrandit si le rapport est supérieur à 0, et réduit si le rapport est négatif.|Une homothétie agrandit si le rapport est égal à 1, et réduit sinon.</t>
  </si>
  <si>
    <t>Une figure subit une homothétie de rapport k. Comment évolue son aire ?</t>
  </si>
  <si>
    <t>Les aires sont multipliées par k².</t>
  </si>
  <si>
    <t>Les aires sont multipliées par k².|Les aires sont multipliées par k.|Les aires sont multipliées par k³.</t>
  </si>
  <si>
    <t>Un solide est agrandi de rapport k. Comment évolue son volume ?</t>
  </si>
  <si>
    <t>Les volumes sont multipliés par k³.</t>
  </si>
  <si>
    <t>Les volumes sont multipliés par k³.|Les volumes sont multipliés par k².|Les volumes sont multipliés par k.</t>
  </si>
  <si>
    <t>Une figure subit une homothétie de rapport 10. Quel effet ça a sur les angles ?</t>
  </si>
  <si>
    <t>Aucun effet : Les angles restent de même mesure.</t>
  </si>
  <si>
    <t>Aucun effet : les angles restent de même mesure.|Les angles sont multipliés par 10.|Les angles sont divisés par 10.</t>
  </si>
  <si>
    <t>Décrire la transformation qui permet de passer de ABC à A’B’C’ ?</t>
  </si>
  <si>
    <t>C’est une homothétie de centre A et de rapport -2</t>
  </si>
  <si>
    <t>C’est une homothétie de centre A et de rapport -2|C’est une translation de centre A vers B.|C’est une symétrie d’axe (AC).</t>
  </si>
  <si>
    <t>C’est une symétrie d’axe (AC)</t>
  </si>
  <si>
    <t>C’est une symétrie d’axe (AC).|C’est une rotation de centre B.|C’est une homothétie de centre A et de rapport 2.</t>
  </si>
  <si>
    <t>C’est une symétrie de centre B</t>
  </si>
  <si>
    <t>C’est une symétrie de centre B.|C’est une translation de B vers C.|C’est une rotation d’angle 90° autour de C.</t>
  </si>
  <si>
    <t>C’est une translation de longueur BC, de sens de B vers C et de direction (BC)</t>
  </si>
  <si>
    <t>C’est une translation de longueur BC, de sens de B vers C et de direction (BC).|C’est une homothétie de rapport 3.|C’est une translation de longueur BC, de sens de C vers B et de direction (CB).</t>
  </si>
  <si>
    <t>C’est une rotation de centre C d’angle 45 ° et de sens anti-horaire</t>
  </si>
  <si>
    <t>C’est une rotation de centre C d’angle 45° et de sens anti-horaire.|C’est une rotation de centre C d’angle 45° et de sens horaire.|C’est une rotation de centre C d’angle 135° et de sens horaire.</t>
  </si>
  <si>
    <t>C’est une homothétie de centre B et de rapport 3</t>
  </si>
  <si>
    <t>C’est une homothétie de centre B et de rapport 3.|C’est une homothétie de centre A et de rapport 3.|C’est une homothétie de centre C et de rapport 3.</t>
  </si>
  <si>
    <t>C’est une homothétie de centre C et de rapport 0,5</t>
  </si>
  <si>
    <t>C’est une homothétie de centre C et de rapport 0,5.|C’est une homothétie de centre A et de rapport 0,5.|C’est une homothétie de centre B et de rapport 0,5.</t>
  </si>
  <si>
    <t>C’est une rotation de centre A  d’angle 90 ° et de sens horaire</t>
  </si>
  <si>
    <t>Est-ce une frise, un pavage ou une rosace ?</t>
  </si>
  <si>
    <t>C’est un pavage.</t>
  </si>
  <si>
    <t>C’est un pavage.|C’est une rosace.|C’est une frise.</t>
  </si>
  <si>
    <t>Par quelle transformation avons-nous obtenu cette rosace ? La décrire.</t>
  </si>
  <si>
    <t>C’est par une rotation d’angle 22,5° (car il y a 16 fois le même motif et que l’angle total mesure 360°) Son centre est au centre du vitrail.</t>
  </si>
  <si>
    <t>C’est une rotation d’angle 22,5° et de centre au milieu du motif.|C’est une symétrie centrale autour du point O.|C’est une translation d’un motif répété 16 fois.</t>
  </si>
  <si>
    <t>C’est par une rotation d’angle 30° (car il y a 12 fois le même carré et que l’angle total mesure 360°) Son centre est au centre de la rosace.</t>
  </si>
  <si>
    <t>C’est une rotation d’angle 30° et de centre au milieu du motif.|C’est une rotation d’angle 45° et de centre au milieu du motif.|C’est une rotation d’angle 160° et de centre au milieu du motif.</t>
  </si>
  <si>
    <t>Vrai ou faux ? Justifier. Si A’ et B’ sont les images respectives de A et B par la même translation alors A’B’AB est un parallélogramme.</t>
  </si>
  <si>
    <t>Faux, C’est A’B’BA qui est un parallélogramme.</t>
  </si>
  <si>
    <t>Vrai ou faux ? Justifier. Un rectangle a un centre de symétrie et 2 axes de symétrie qui sont les diagonales.</t>
  </si>
  <si>
    <t>Faux Un rectangle a un centre de symétrie Et 2 axes de symétrie qui sont les médiatrices des côtés et non les diagonales.</t>
  </si>
  <si>
    <t>Un rectangle de longueur 4 cm et de largeur 3 cm est transformé par une homothétie de rapport -2. Quelle est l’aire de la figure obtenue ?</t>
  </si>
  <si>
    <t>L’aire du rectangle initial est : 4 x 3 = 12 cm². L’aire va être multipliée par 22 soit 4 L’aire de la figure obtenue va être : 12 x 4 soit 48 cm²</t>
  </si>
  <si>
    <t>12|12 cm²</t>
  </si>
  <si>
    <t>Soit ABC un triangle équilatéral. Quel est l’angle de rotation de centre C qui transforme A en B ?</t>
  </si>
  <si>
    <t>C’est une rotation d’angle 60°</t>
  </si>
  <si>
    <t>60|60°|60 degrès</t>
  </si>
  <si>
    <t>Soit ABCD un rectangle de centre E. Quelle est l’image de A par la translation qui transforme E en C ?</t>
  </si>
  <si>
    <t>C’est E.</t>
  </si>
  <si>
    <t>C’est E.|C’est C.|C’est D.</t>
  </si>
  <si>
    <t>Décrire par les mots de vocabulaire précis cette notation mathématique : (AB)</t>
  </si>
  <si>
    <t>Communiquer</t>
  </si>
  <si>
    <t>C’est la droite passant par A et par B</t>
  </si>
  <si>
    <t>C’est la droite passant par A et par B.|C’est le segment d’extrémités A et B.|C’est la demi-droite d’origine A et passant par B.</t>
  </si>
  <si>
    <t>Décrire par les mots de vocabulaire précis cette notation mathématique : [AB]</t>
  </si>
  <si>
    <t>C’est le segment d’extrémités A et par B</t>
  </si>
  <si>
    <t>C’est le segment d’extrémités A et B.|C’est la droite passant par A et B.|C’est la demi-droite d’origine A et passant par B.</t>
  </si>
  <si>
    <t>Décrire par les mots de vocabulaire précis cette notation mathématique : [AB)</t>
  </si>
  <si>
    <t>C’est la demi-droite d’origine A Et passant et par B</t>
  </si>
  <si>
    <t>C’est la demi-droite d’origine A et passant par B.|C’est le segment d’extrémités A et B.|C’est la droite passant par A et B.</t>
  </si>
  <si>
    <t>Décrire par les mots de vocabulaire précis cette notation mathématique : AB</t>
  </si>
  <si>
    <t>C’est la longueur du segment d’extrémités A et B</t>
  </si>
  <si>
    <t>C’est la longueur du segment d’extrémités A et B.|C’est la longueur de la droite passant par A et B.|C’est la longueur de la demi-droite d’origine A et passant par B.</t>
  </si>
  <si>
    <t>Décrire par les mots de vocabulaire précis cette notation mathématique : (AB) ⊥ (CD)</t>
  </si>
  <si>
    <t>La droite passant par A et par B est perpendiculaire à la droite passant par C et D</t>
  </si>
  <si>
    <t>La droite passant par A et par B est perpendiculaire à la droite passant par C et D.|Le segment d’extrémités A et B est perpendiculaire au segment d’extrémités C et D.|La demi-droite d’origine A est perpendiculaire à la droite passant par C et D.</t>
  </si>
  <si>
    <t>Décrire par les mots de vocabulaire précis cette notation mathématique : (AB) // (CD)</t>
  </si>
  <si>
    <t>La droite passant par A et par B est parallèle à la droite passant par C et D</t>
  </si>
  <si>
    <t xml:space="preserve">La droite passant par A et par B est parallèle à la droite passant par C et D.|Le segment d’extrémités A et B est parallèle au segment d’extrémités C et D.|La demi-droite d’origine A est parallèle à la droite passant par C et D.
</t>
  </si>
  <si>
    <t>Décrire par les mots de vocabulaire précis cette notation mathématique : B ∈ (CD)</t>
  </si>
  <si>
    <t>Le point B appartient à la droite passant par C et par D</t>
  </si>
  <si>
    <t>Le point B appartient à la droite passant par C et D.|Le point B appartient au segment [CD].|Le point B appartient à la demi-droite d’origine C et passant par D.|</t>
  </si>
  <si>
    <t>Décrire par les mots de vocabulaire précis cette notation mathématique : B ∉ (CD)</t>
  </si>
  <si>
    <t>Le point B n’appartient pas à la droite passant par C et par D</t>
  </si>
  <si>
    <t>Le point B n’appartient pas à la droite passant par C et D.|Le point B n’appartient pas au segment [CD].|Le point B n’appartient pas à la demi-droite d’origine C et passant par D.</t>
  </si>
  <si>
    <t xml:space="preserve">Donner l’écriture scientifique de : 129,06 × 10^-5 </t>
  </si>
  <si>
    <t>1,290 6 × 10^-3</t>
  </si>
  <si>
    <t>1,2906×10^-3|12,906×10^ -4|0,12906×10^ -2</t>
  </si>
  <si>
    <t>Vrai ou faux ? Justifier. 1÷3=0,333</t>
  </si>
  <si>
    <t>Faux ce n’est pas une valeur exacte mais une valeur approchée. Il faut écrire 1÷3≈0,333</t>
  </si>
  <si>
    <t>Calculer 7^-2 ?</t>
  </si>
  <si>
    <t>C’est l’inverse de 7² soit 1/49</t>
  </si>
  <si>
    <t>C’est 2 x 2 x 2 x 2 soit 16 !</t>
  </si>
  <si>
    <t>10⁶ correspond au méga noté M et 10⁻⁶ correspond au micro noté µ.|10⁶ correspond au kilo noté k et 10⁻⁶ correspond au milli noté m.|10⁶ correspond au giga noté G et 10⁻⁶ correspond au nano noté n.</t>
  </si>
  <si>
    <t>A quels préfixes correspondent 10³ et 10^-3 ? Donner les notations correspondantes</t>
  </si>
  <si>
    <t>10³ correspond au kilo noté k et 10^-3 correspond au milli noté m</t>
  </si>
  <si>
    <t>10³ correspond au kilo noté k et 10⁻³ correspond au milli noté m.|10³ correspond au méga noté M et 10⁻³ correspond au micro noté µ.|10³ correspond au giga noté G et 10⁻³ correspond au nano noté n.</t>
  </si>
  <si>
    <t>10⁹ correspond au giga noté G et 10⁻⁹ correspond au nano noté n.|10⁹ correspond au méga noté M et 10⁻⁹ correspond au micro noté µ.|10⁹ correspond au kilo noté k et 10⁻⁹ correspond au milli noté m.</t>
  </si>
  <si>
    <t>Qu’est-ce qu’une écriture scientifique ?</t>
  </si>
  <si>
    <t>C’est l’écriture sous la forme d’un produit d’un nombre compris entre 1 (inclus) et 10 (exclu) et d’une puissance de 10.|C’est l’écriture d’un nombre avec une puissance de 10 uniquement.|C’est une forme d’écriture pour représenter les petits nombres.</t>
  </si>
  <si>
    <t>Énoncer la signification de tous les codages</t>
  </si>
  <si>
    <t>Il y a 2 côtés de même longueur et 2 angles de même mesure.</t>
  </si>
  <si>
    <t>Il y a 2 côtés de même longueur et 2 angles de même mesure.|Les angles sont tous égaux.|Il y a 3 côtés de même longueur.</t>
  </si>
  <si>
    <t>NM = ML ; LK = KM  LNM = LMN</t>
  </si>
  <si>
    <t>NM = ML ; LK = KM  LNM = LMN|NM = ML ; LK = KM  LNM = LMN|NM = NL ; LK = KM  LNM = LMN</t>
  </si>
  <si>
    <t>EIF = HIG et FEI = IGF</t>
  </si>
  <si>
    <t>EIF = HIG et FEI = IGF|EIF = FEI et FEI = HIG|EIF = HIG et EHG = EFG</t>
  </si>
  <si>
    <t>KJ = 3 cm LM = KL ;  LKJ = KJM = 90°</t>
  </si>
  <si>
    <t>KJ = 3 cm LM = KL ;  LKJ = KJM = 90°|KJ = 3 cm LM = KL ;  LKJ = KJM = 45°|KJ = 3 cm LM = KM ;  LKJ = KJM = 45°</t>
  </si>
  <si>
    <t>HJ = 4 cm; HK = 2 cm M milieu de [LI] IK = 7 cm ; KHJ = NKL = NML = 90°</t>
  </si>
  <si>
    <t>HJ = 4 cm; HK = 2 cm M milieu de [LI] IK = 7 cm ; KHJ = NKL = NML = 90°|HJ = 2 cm; HK = 4 cm M milieu de [LI] IK = 7 cm ; KHJ = NKL = NML = 45°|HK = 2 cm; HJ = 4 cm M milieu de [LK] IK = 7 cm ; KHJ = NKL = NML = 45°|</t>
  </si>
  <si>
    <t>Décrire par une phrase en employant les mots de vocabulaire qui conviennent la notation suivante : f(2) = 3</t>
  </si>
  <si>
    <t>L’image de 2 par la fonction f est 3.</t>
  </si>
  <si>
    <t>L’image de 2 par la fonction f est 3.|La fonction f à l’origine 2 donne le résultat 3.|L’image de 3 par la fonction f est 2.</t>
  </si>
  <si>
    <t>Décrire par une phrase en employant les mots de vocabulaire qui conviennent la notation suivante : f(- 4) = 7</t>
  </si>
  <si>
    <t>L’image de - 4 par la fonction f est 7.</t>
  </si>
  <si>
    <t>L’image de -4 par la fonction f est 7.|La fonction f à l’origine -4 donne le résultat 7.|L’image de 7 par la fonction f est -4.</t>
  </si>
  <si>
    <t>Décrire par une phrase en employant les mots de vocabulaire qui conviennent la notation suivante : h : - 5 → 12</t>
  </si>
  <si>
    <t>L’image de - 5 par la fonction h est 12.</t>
  </si>
  <si>
    <t>L’image de -5 par la fonction h est 12.|La fonction h à l’origine -5 donne le résultat 12.|L’image de 12 par la fonction h est -5.</t>
  </si>
  <si>
    <t>Le lundi, à l’ouverture du magasin, un article de sport est vendu 60 €. Le mardi, son prix baisse de 30 %. Le mercredi, il remonte de 40 %. Quel est le dernier prix de l’article.</t>
  </si>
  <si>
    <t>60 x 0,7 x 1,4 = 58,8 € Le dernier prix est 58,8 €</t>
  </si>
  <si>
    <t>58,8|58,8€</t>
  </si>
  <si>
    <t>Un club de natation rassemble 600 licenciés : 240 femmes et 360 hommes. 40 % des femmes et 60 % des hommes font de la compétition. Quel est le pourcentage de licenciés qui font de la compétition ?</t>
  </si>
  <si>
    <t>240 x 0,4 + 360 x 0,6 = 96 + 216 = 312 312 licenciés font de la compétition. 312 / 600 x 100 = 52 Il y a 52 % des licenciés qui font de la compétition</t>
  </si>
  <si>
    <t>52|52%</t>
  </si>
  <si>
    <t>Dans sa bibliothèque, Malo possède 80 livres et 60 bandes dessinées. Malo donne 30 % de ses livres et 45 % de ces BD à l’école. Quel pourcentage de sa bibliothèque Malo a-t-il donné ? arrondir à l’unité.</t>
  </si>
  <si>
    <t>80 x 0,3 + 60 x 0,45 = 24 + 27 = 51 Malo a donné 51 ouvrages. 51/ 140 x 100 ≈ 36,4 L’arrondi à l’unité est donc 36 %</t>
  </si>
  <si>
    <t>36|36%</t>
  </si>
  <si>
    <t>Le lundi, à l’ouverture du magasin, un article de sport est vendu 90 €. Le mardi, son prix augmente de 30 %. Le mercredi, il baisse de 30 %. Quel est le dernier prix de l’article ?</t>
  </si>
  <si>
    <t>90 x 0,7 x 1,3 = 81,9 € Le dernier prix est 81,9 €</t>
  </si>
  <si>
    <t>81,9|81,9€</t>
  </si>
  <si>
    <t>Un club de tennis rassemble 800 licenciés : 270 femmes et 530 hommes. 30 % des femmes et 40 % des hommes font de la compétition. Quel est le pourcentage de licenciés qui font de la compétition ? arrondir à l’unité.</t>
  </si>
  <si>
    <t>270 x 0,3 + 530 x 0,4 = 81 + 212 = 293 licenciés font de la compétition. 293 / 800 x 100 = 36,625 Il y a 36,625 % des licenciés qui font de la compétition soit 37%</t>
  </si>
  <si>
    <t>37|37%</t>
  </si>
  <si>
    <t>Un club de gym rassemble 500 licenciés : 380 femmes et 120 hommes. 60 % des femmes et 80 % des hommes font de la compétition. Quel est le pourcentage de licenciés qui font de la compétition ? arrondir à l’unité.</t>
  </si>
  <si>
    <t>380 x 0,6 + 120 x 0,8 = 228 + 96 = 324 licenciés font de la compétition. 324 / 500 x 100 = 64,8 % Il y a 64,8 % des licenciés qui font de la compétition soit 65%</t>
  </si>
  <si>
    <t>65|65%</t>
  </si>
  <si>
    <t>Timothée souhaite acheter 2 pneus. Quelle est l’offre la plus avantageuse ? Offre A : - 25 % sur chaque pneu acheté. Offre B : - 50 % sur le second pneu acheté.</t>
  </si>
  <si>
    <t>Cela revient au même ! Soit y le prix du pneu Offre A : prix de 2 pneus = y x 0,75 x 2 = y x 1,5 Offre B : prix de 2 pneus = y + y x 0,5 = y x 1,5 C’est le même tarif !</t>
  </si>
  <si>
    <t>Les deux offres sont identiques, elles reviennent au même prix total.|L'offre A est plus avantageuse, car elle réduit de 25 % le prix de chaque pneu.|L'offre B est plus avantageuse, car elle réduit de 50 % le prix du second pneu.</t>
  </si>
  <si>
    <t>Ambre souhaite acheter un blouson de ski affiché à 148,50 €. Il y a une promotion, elle ne paye finalement que 103,95€ Quel a été le pourcentage de remise de ce blouson ?</t>
  </si>
  <si>
    <t>148,50 – 103,95 = 44,55 44,55 / 148,5 x 100 = 30 La remise a été de 30 %</t>
  </si>
  <si>
    <t>30|30%</t>
  </si>
  <si>
    <t xml:space="preserve">Le tableau suivant est-il un tableau de proportionnalité ? </t>
  </si>
  <si>
    <t>15 : 5 = 3 20 : 10 = 2 Les quotients ne sont pas égaux donc NON</t>
  </si>
  <si>
    <t>20 : 5 = 4 40 : 10 = 4 60 : 15 = 4 Les quotients sont tous égaux donc OUI.</t>
  </si>
  <si>
    <t>4 : 1 = 4 22 : 5,5 = 4 Mais 11 x 4 = 44 et non 40 Ce n’est pas toujours le même coefficient de proportionnalité donc NON.</t>
  </si>
  <si>
    <t>30 : 6 = 5 42 : 7 = 6 Les quotients ne sont pas tous égaux donc NON.</t>
  </si>
  <si>
    <t>6 : 2 = 3 3 x 8,5 = 25,5 3 x 10,5 = 31,5 C’est toujours le même coefficient de proportionnalité donc OUI.</t>
  </si>
  <si>
    <t>5,25 x 2 = 10,5 Mais 15,25 x 2 = 30,5 et non 30 ! Ce n’est pas toujours le même coefficient de proportionnalité donc NON.</t>
  </si>
  <si>
    <t>Le tableau suivant est-il un tableau de proportionnalité ?</t>
  </si>
  <si>
    <t>2 x 3 = 6 3,4 x 3 = 10,2 2+6 = 8 et 3,4 + 10,2 = 13,6 Les propriétés d’additivité sont respectées donc OUI.</t>
  </si>
  <si>
    <t>5 x 2 = 10 49 x 2 = 98 5 + 10 = 15 et 49 + 98 = 147 et non 137 Les propriétés d’additivité ne sont pas respectées donc NON.</t>
  </si>
  <si>
    <t>Compléter ce tableau de proportionnalité par les valeurs qui conviennent.</t>
  </si>
  <si>
    <t>a = 77 b= 9</t>
  </si>
  <si>
    <t>77| pour a et |9| pour b</t>
  </si>
  <si>
    <t>a = 1,1 b= 65,5</t>
  </si>
  <si>
    <t>1,1| pour a et |65,5| pour b</t>
  </si>
  <si>
    <t>a = 10,5 b= 12</t>
  </si>
  <si>
    <t>10,5| pour a et |12| pour b</t>
  </si>
  <si>
    <t>a = 8 b= 1,2</t>
  </si>
  <si>
    <t>8| pour a et |1,2| pour b</t>
  </si>
  <si>
    <t>a = 0,1 b= 140</t>
  </si>
  <si>
    <t>0,1| pour a et |140| pour b</t>
  </si>
  <si>
    <t>a = 0,75 b= 15</t>
  </si>
  <si>
    <t>0,75| pour a et |15| pour b</t>
  </si>
  <si>
    <t>a = 15 b= 43,2</t>
  </si>
  <si>
    <t>15| pour a et |43,2| pour b</t>
  </si>
  <si>
    <t>a = 0,48 b= 10</t>
  </si>
  <si>
    <t>0,48| pour a et |10| pour b</t>
  </si>
  <si>
    <t>Donner l’opposé de 32</t>
  </si>
  <si>
    <t>Donner l’opposé de − 154</t>
  </si>
  <si>
    <t>Donner l’opposé de l’inverse 7</t>
  </si>
  <si>
    <t xml:space="preserve">−1/7 </t>
  </si>
  <si>
    <t>Donner l’opposé de l’inverse −1/11</t>
  </si>
  <si>
    <t>Donner l’inverse de 4</t>
  </si>
  <si>
    <t>Donner l’inverse de −10/3</t>
  </si>
  <si>
    <t>Donner l’inverse de l’opposé −9/8</t>
  </si>
  <si>
    <t>Donner l’inverse de l’opposé 18</t>
  </si>
  <si>
    <t>(08/09)</t>
  </si>
  <si>
    <t>Que signifie que le plan est à l’échelle 1/100000 ?</t>
  </si>
  <si>
    <t>1 cm sur le plan correspond à 100 000 cm en réalité</t>
  </si>
  <si>
    <t>1 cm sur le plan correspond à 100 000 cm en réalité.|1 cm sur le plan correspond à 1 000 000 cm en réalité.|1 cm sur le plan correspond à 10 000 cm en réalité.</t>
  </si>
  <si>
    <t>Que signifie que le plan est à l’échelle 1/1000000 ?</t>
  </si>
  <si>
    <t>1 cm sur le plan correspond à 1 000 000 cm en réalité</t>
  </si>
  <si>
    <t>1 cm sur le plan correspond à 1 000 000 cm en réalité.|1 cm sur le plan correspond à 10 000 000 cm en réalité.|1 cm sur le plan correspond à 100 000 cm en réalité.</t>
  </si>
  <si>
    <t>Que signifie cette échelle ?</t>
  </si>
  <si>
    <t>La taille réelle de ce lymphocyte est 2 200 fois plus petite.</t>
  </si>
  <si>
    <t>La taille du lymphocyte est 2 200 fois plus petite.|La taille du lymphocyte est agrandie 2 200 fois.|La taille du lymphocyte est 2 200 fois plus grande.</t>
  </si>
  <si>
    <t>La longueur du segment sur la photo correspond en réalité à 1 μm soit 10-6 m.</t>
  </si>
  <si>
    <t>On a les données suivantes : Distance sur le plan : 7 cm Distance en réalité : 3,50 m Quelle est l’échelle de ce plan ?</t>
  </si>
  <si>
    <t>3,50 m = 350 cm 7/350 = 1/50 L’échelle est 1 / 50</t>
  </si>
  <si>
    <t>Quelle serait la taille réelle du virus de la grippe si on a ces données ? taille du segment = 2,6 cm taille du virus sur la photo = 4,6 cm</t>
  </si>
  <si>
    <t>Calcul de la taille réelle : 4,6 x 70 / 2,6 = 124 nm</t>
  </si>
  <si>
    <t>On a les données suivantes : Distance sur le plan : 4,5 cm Distance en réalité : 225 m Quelle est l’échelle de ce plan ?</t>
  </si>
  <si>
    <t>225 m = 22 500 cm 4,5/22 500 = 1/5 000 L’échelle est 1 / 5 000</t>
  </si>
  <si>
    <t>On a les données suivantes : Distance sur la photo : 12 cm Distance en réalité : 0,04 mm Quelle est l’échelle de ce plan ?</t>
  </si>
  <si>
    <t>12 cm = 120 mm 0,04 = 4 /100 mm 120 / 0,04 = 120 x 100/4 = 3 000 L’échelle est 3 000</t>
  </si>
  <si>
    <t>Réduire 7x×3+9+8x²−5x+6−7x²</t>
  </si>
  <si>
    <t>Calcul littéral</t>
  </si>
  <si>
    <t>x²+16x+15</t>
  </si>
  <si>
    <t>RLD3</t>
  </si>
  <si>
    <t>1|x²|16|x|15|</t>
  </si>
  <si>
    <t>Réduire 8"+10+6"!−3"+6+2"!×4</t>
  </si>
  <si>
    <t>14x²+5x+16</t>
  </si>
  <si>
    <t>14|x²|5|x|16|</t>
  </si>
  <si>
    <t>Réduire 4x−8+9x²+7x−10×7+17x²</t>
  </si>
  <si>
    <t>26x²+11x−78</t>
  </si>
  <si>
    <t>26|x²|11|x|-78|</t>
  </si>
  <si>
    <t>Réduire −4x²+5x−11×6+9x²−15x</t>
  </si>
  <si>
    <t>5x²−10x−66</t>
  </si>
  <si>
    <t>5|x²|-10|x|-66|</t>
  </si>
  <si>
    <t>Développer et réduire 3x(4x−2)−5x²+7x+6</t>
  </si>
  <si>
    <t>7x²+x+6</t>
  </si>
  <si>
    <t>7|x²|1|x|6|</t>
  </si>
  <si>
    <t>Développer et réduire 5x(−x+7)−4x²+6x−18</t>
  </si>
  <si>
    <t>−9x²+41x−18</t>
  </si>
  <si>
    <t>-9|x²|41|x|-18|</t>
  </si>
  <si>
    <t>Développer et réduire 11(2x−3)−x²+7x−8</t>
  </si>
  <si>
    <t>−x²+29x−41</t>
  </si>
  <si>
    <t>-9|x²|29|x|-41|</t>
  </si>
  <si>
    <t>Développer et réduire −7(3x−9)−2(x²+7)−x+13</t>
  </si>
  <si>
    <t>−2x²−22x+62</t>
  </si>
  <si>
    <t>-2|x²|-22|x|62|</t>
  </si>
  <si>
    <t>Développer et réduire 8(−x+12)−3(2x²+10)−4x−1</t>
  </si>
  <si>
    <t>−6x²−12x+65</t>
  </si>
  <si>
    <t>-6|x²|-12|x|65|</t>
  </si>
  <si>
    <t>Développer et réduire 3(x+2/3)−(4x²+5x−6)−14x−9</t>
  </si>
  <si>
    <t>−4x²−16x−1</t>
  </si>
  <si>
    <t>-4|x²|-16|x|-1|</t>
  </si>
  <si>
    <t>Développer et réduire 5x−6−2x²−(7x−10)×3x+40</t>
  </si>
  <si>
    <t>−23x²−25x+34</t>
  </si>
  <si>
    <t>-23|x²|-25|x|34|</t>
  </si>
  <si>
    <t>Développer et réduire −6x²+5(2x−11)−3×6x+9(x²−x)</t>
  </si>
  <si>
    <t>3x²−17x−55</t>
  </si>
  <si>
    <t>3|x²|-17|x|-55|</t>
  </si>
  <si>
    <t>Développer et réduire (9x−8)(7x−3)</t>
  </si>
  <si>
    <t>63x²−83x+35</t>
  </si>
  <si>
    <t>62|x²|-83|x|35|</t>
  </si>
  <si>
    <t>Développer et réduire (−2x+7)(6x+5)</t>
  </si>
  <si>
    <t>−12x²+32x+35</t>
  </si>
  <si>
    <t>-12|x²|32|x|35|</t>
  </si>
  <si>
    <t>Développer et réduire (2x−1)(7x−3)</t>
  </si>
  <si>
    <t>14x²−13x+3</t>
  </si>
  <si>
    <t>14|x²|-13|x|3|</t>
  </si>
  <si>
    <t>Développer et réduire −7(3x−9)(10x+4)</t>
  </si>
  <si>
    <t>−210x²+546x+252</t>
  </si>
  <si>
    <t>-210|x²|546|x|252|</t>
  </si>
  <si>
    <t>Trouve le nombre qui complète cette suite logique. 1 ; 3 ; 7 ; 15 ; 31 ; 63 ; ?</t>
  </si>
  <si>
    <t>Logique</t>
  </si>
  <si>
    <t>C’est 127. L’écart est doublé entre chaque nombre +2 ; +4 ; +8 ; +16 ; +32 ; +64</t>
  </si>
  <si>
    <t>Trouve le nombre qui complète cette suite logique. 2 ; 3 ; 6 ; 18 ; 108 ; ?</t>
  </si>
  <si>
    <t>C’est 1 944. On multiplie les deux nombres précédents.</t>
  </si>
  <si>
    <t>Trouve le nombre qui complète cette suite logique. 25 ; 36 ; 49 ; 64 ;81 ;100 ; ?</t>
  </si>
  <si>
    <t>C’est 121. Ce sont les carrés de 5 ; 6 ; 7 ; 8 ; 9 ; 10 et 11</t>
  </si>
  <si>
    <t>Un bœuf vaut 20 chèvres. Une chèvre vaut 5 poulets. Une souris vaut 13 œufs. Un poulet vaut 4 douzaines d’œufs. Combien d’œufs vaut 1 bœuf ?</t>
  </si>
  <si>
    <t>Derrière une palissade, se cachent des lapins et des poules. On peut voir 54 pattes et 20 têtes. Combien y a –t-il de lapins et de poules ?</t>
  </si>
  <si>
    <t>7 lapins et 13 poules .</t>
  </si>
  <si>
    <t>La prof de maths a été enlevée ! La police a trois suspects, deux mentent toujours et un seul dit toujours la vérité. Voici un extrait de l'interrogatoire : Ambre : « Timothée n'est pas un menteur » Timothée : « Je n'ai pas enlevé la prof.» Malo : « Ambre n'a pas enlevé la prof » Qui a enlevé la prof de maths ???</t>
  </si>
  <si>
    <t>C’est Timothée le coupable.</t>
  </si>
  <si>
    <t>Timothée|Ambre|Malo</t>
  </si>
  <si>
    <t>Laquelle de ces cinq formes proposées ne permet pas de compléter l’assemblage pour obtenir un pavé droit ?</t>
  </si>
  <si>
    <t>C’est la D.</t>
  </si>
  <si>
    <t>D|A|B|C|E</t>
  </si>
  <si>
    <t>On commande à une entreprise cent plaques de rue numérotées de 1 à 100. Combien de fois le chiffre 5 apparaîtra?</t>
  </si>
  <si>
    <t>Le chiffre 5 apparaît 20 fois.</t>
  </si>
  <si>
    <t>20|20 fois</t>
  </si>
  <si>
    <t>Chez Roland, les raquettes et les balles s’achètent en « Nadales ». 50 Nadales = 1 balle et 1 raquette 120 Nadales =  3 balles et 2 raquettes Combien de Nadales coûte une balle ?</t>
  </si>
  <si>
    <t>1 balle coûte 20 Nadales.</t>
  </si>
  <si>
    <t>20|20 Nadales</t>
  </si>
  <si>
    <t>Remplacer les points d’interrogation par les valeurs manquantes :</t>
  </si>
  <si>
    <t>1 et 2</t>
  </si>
  <si>
    <t>Quelle est la mesure de l’angle formé par les aiguilles ?</t>
  </si>
  <si>
    <t>La mesure de l’angle formé par les 2 aiguilles est 120°</t>
  </si>
  <si>
    <t>120|120°</t>
  </si>
  <si>
    <t>On forme la figure A en posant côte à côte 3 bandes de papier de 4 cm de large. Chaque bande dépasse la précédente de 25 cm. On forme la figure B en changeant l’ordre des bandes. De combien le périmètre de B dépasse-t-il celui de A ?</t>
  </si>
  <si>
    <t>Le périmètre de B dépasse de 50 cm.</t>
  </si>
  <si>
    <t>50|50 cm</t>
  </si>
  <si>
    <t>76 personnes passent par des chemins dessinés ci-contre. Quand un chemin se divise en deux, on sait que le groupe de personnes arrivant se partage équitablement en deux. Combien de personnes vont arriver au stand A ?</t>
  </si>
  <si>
    <t>Il y aura 57 personnes au stand A.</t>
  </si>
  <si>
    <t>57|57 personnes</t>
  </si>
  <si>
    <t>3 × 2023 = 2019 + 2029 + coeur alors coeur = ???</t>
  </si>
  <si>
    <t>Les sommets du petit carré se trouvent au milieu des côtés du grand carré. L’aire du petit carré est de 49 m², quelle est l’aire du grand carré ?</t>
  </si>
  <si>
    <t>L’aire 98 cm2</t>
  </si>
  <si>
    <t>98|98 cm²| 98 cm2|98 cm^2</t>
  </si>
  <si>
    <t>Ma montre digitale vient juste d’afficher 12 :43. Dans combien de minutes verrai-je pour la première fois les mêmes quatre chiffres (pas forcément dans le même ordre) à l’affichage ?</t>
  </si>
  <si>
    <t>Dans 41 minutes</t>
  </si>
  <si>
    <t>41|41 min|41 minutes</t>
  </si>
  <si>
    <t>Les cinq signes représentent cinq chiffres différents. Que représente le signe φ ? δ + δ + δ = ξ σ + σ + σ = β ξ + β = φ</t>
  </si>
  <si>
    <t>C’est 9</t>
  </si>
  <si>
    <t>La figure ci-contre montre un pentagone étoilé. Quatre angles sont marqués. Si !" = 110°, # $ = 92° et % = 57°, combien mesure l’angle '"?</t>
  </si>
  <si>
    <t>C’est 39 °</t>
  </si>
  <si>
    <t>39|39°</t>
  </si>
  <si>
    <t xml:space="preserve">Combien vaut la fraction (2023 + 2023 +2023 +2023 - 2023)/2023 +2023 </t>
  </si>
  <si>
    <t>Elle vaut 3/2</t>
  </si>
  <si>
    <t>Un homard vaut 30 langoustes. Une araignée vaut 10 bigorneaux. Une langouste vaut 7 gambas. Une gambas vaut 5 douzaines d’huitres. Combien d’huitres vaut un homard ?</t>
  </si>
  <si>
    <t>C’est 12 600 huîtres.</t>
  </si>
  <si>
    <t>12600|12600 huîtres|12600 huitres</t>
  </si>
  <si>
    <t>Ma montre digitale vient juste d’afficher 10 : 53. Dans combien de minutes verrai-je pour la première fois les mêmes quatre chiffres (pas forcément dans le même ordre) à l’affichage ?</t>
  </si>
  <si>
    <t>Dans 132 minutes</t>
  </si>
  <si>
    <t>132|132 min | 132 minutes</t>
  </si>
  <si>
    <t>2 poussins marchent devant 1 poussin. 2 poussins marchent derrière 1 poussin. 1 poussin est au milieu. Combien y a-t-il de poussins ?</t>
  </si>
  <si>
    <t>Il y a 3 poussins</t>
  </si>
  <si>
    <t>3|3 poussins</t>
  </si>
  <si>
    <t xml:space="preserve">Quel est l’intrus ? </t>
  </si>
  <si>
    <t>C’est le c/ car ce n’est pas une perspective cavalière d’un solide.</t>
  </si>
  <si>
    <t>c|a|b|d|e</t>
  </si>
  <si>
    <t>Un tournoi de tennis entre 12 joueurs est organisé. Le principe est l’élimination directe : un joueur qui a perdu un match ne peut participer à d’autres matchs. Quel est le nombre de parties jouées ?</t>
  </si>
  <si>
    <t>Il y aura 11 matchs.</t>
  </si>
  <si>
    <t>11|11 matchs</t>
  </si>
  <si>
    <t>Harry, Hermione et Ron jettent des sorts (Endoloris, Stupéfix et Incendio) dans 3 lieux différents (Poudlard, chaudron baveur et terrain de Quidditch). L’un d’eux jette le sort Incendio dans Poudlard. Une heure plus tard, Hermione s’exerce dans le chaudron baveur. Pendant ce temps, Ron envoie stupéfix. Retrouve le prénom, le sort et le lieu correspondant à chacun.</t>
  </si>
  <si>
    <t>Harry avec le sort Incendio à Poudlard Hermione avec le sort Endoloris au chaudron baveur. Ron avec Stupéfix au terrain de Quidditch.</t>
  </si>
  <si>
    <t>Harry avec Incendio à Poudlard, Hermione avec Endoloris au Chaudron Baveur, Ron avec Stupéfix au terrain de Quidditch.|Harry avec Stupéfix au terrain de Quidditch, Hermione avec Incendio à Poudlard, Ron avec Endoloris au Chaudron Baveur.|Harry avec Endoloris au terrain de Quidditch, Hermione avec Incendio au Chaudron Baveur, Ron avec Stupéfix à Poudlard.</t>
  </si>
  <si>
    <t>Salla a 3 ans de plus que Valentine qui a elle-même 3 ans de moins que Joe et 3 ans de plus que Ambre. Ambre a 4 ans de moins que Huguette. Quelles sont les 2 personnes qui ont 1 an d’écart ?</t>
  </si>
  <si>
    <t>Ce sont Salla et Huguette.</t>
  </si>
  <si>
    <t>Salla et Huguette|Ambre et Salla|Joe et Valentine</t>
  </si>
  <si>
    <t>Voici le patron d’un solide, combien a-t-il d’arêtes ?</t>
  </si>
  <si>
    <t>Il y a 15 arêtes.</t>
  </si>
  <si>
    <t>15|15 arêtes|15 aretes</t>
  </si>
  <si>
    <t>Combien d’heures font dix trois quarts d’heure ?</t>
  </si>
  <si>
    <t>10 x ¾ = 7,5 h</t>
  </si>
  <si>
    <t>7,5|7,5h</t>
  </si>
  <si>
    <t>Sachant que A ∈ [LM] et que OMA= 30°. Quelle est la mesure de l’angle LOA ?</t>
  </si>
  <si>
    <t>OMA=OLM= 30° et MOA=OAM= (180-30)/2 = 75° OAL=180−75=105° LOA= 180 – 105 – 30= 45°</t>
  </si>
  <si>
    <t>45|45°</t>
  </si>
  <si>
    <t>2134' 2 chiffres corrects mais pas à la bonne place '9826' 1 chiffre correct et à la bonne place '7059' 2 chiffres sont corrects, 1 à la bonne place.' 6427' Aucun chiffre n’est correct '5813' 2 chiffres corrects et à la bonne place. Quel ce nombre mystérieux ?</t>
  </si>
  <si>
    <t>Trouve le nombre qui complète cette suite logique. 1 3 ; 1 ; 5 3 ; ?</t>
  </si>
  <si>
    <t>Dans ce cadre carré se trouve des carrés gris. Quel est le pourcentage de noir dans ce cadre ?</t>
  </si>
  <si>
    <t>32|32%</t>
  </si>
  <si>
    <t>image</t>
  </si>
  <si>
    <t>Calculs</t>
  </si>
  <si>
    <t>Les 24 stylos de Ambre sont de 3 sortes : les feutres, les surligneurs et les pastels. Trois quarts ne sont pas des feutres et deux tiers ne sont pas des pastels. Combien Ambre a -t-elle de surligneurs ?</t>
  </si>
  <si>
    <t>10 surligneurs</t>
  </si>
  <si>
    <t>10|10 surligneurs</t>
  </si>
  <si>
    <t>Donne l’écriture décimale de 2×10²+10¹+10^-1+2×10^-3</t>
  </si>
  <si>
    <t>(1−1/4)(1−2/4)(1−3/4)(1−4/4)(1+1/4)(1+2/4)(1+3/4)(1+4/4)</t>
  </si>
  <si>
    <t>Calculer 4x²+7 pour x = -1</t>
  </si>
  <si>
    <t>4×(−1)²+7=22</t>
  </si>
  <si>
    <t>Calculer −5 "−2 pour x = -2</t>
  </si>
  <si>
    <t>−5 ×(−2)−2=8</t>
  </si>
  <si>
    <t>9 + 4,5 × (−2)</t>
  </si>
  <si>
    <t>(−5)²+6×(−4)</t>
  </si>
  <si>
    <t>25 – 24 = 1</t>
  </si>
  <si>
    <t>Qu’est-ce que l’effectif d’une valeur dans une série statistique ?</t>
  </si>
  <si>
    <t>Stats ou probas</t>
  </si>
  <si>
    <t>C’est le nombre de fois où la valeur apparaît dans la série.</t>
  </si>
  <si>
    <t>C’est le nombre de fois où la valeur apparaît dans la série.|C’est la différence entre les valeurs maximum et minimum.|C’est la somme des valeurs dans la série.</t>
  </si>
  <si>
    <t>Comment calcule-t-on la fréquence d’une valeur dans une série statistique ?</t>
  </si>
  <si>
    <t>On divise l’effectif de la valeur par l’effectif total.</t>
  </si>
  <si>
    <t>On divise l’effectif de la valeur par l’effectif total.|On soustrait l’effectif de la valeur à l’effectif total.|On multiplie l’effectif de la valeur par l’effectif total.</t>
  </si>
  <si>
    <t>Comment calcule-t-on la moyenne d’une série statistique ?</t>
  </si>
  <si>
    <t>On additionne toutes les valeurs (y compris si la même valeur apparaît plusieurs fois) et on divise cette somme par l’effectif total.</t>
  </si>
  <si>
    <t>On additionne toutes les valeurs (y compris si la même valeur apparaît plusieurs fois) et on divise par l’effectif total.|On additionne toutes les valeurs et on divise par le nombre de valeurs distinctes.|On prend la valeur centrale de la série.</t>
  </si>
  <si>
    <t>Voici la série de notes sur 15 d’un élève : 15 ; 12 ; 3 ; 14 ; 5 ; 11 ; 10. Quelle est la moyenne de ses notes ? Que signifie cette moyenne ?</t>
  </si>
  <si>
    <t>La moyenne est 10/15. S’il avait obtenu la même note à chaque fois, il aurait eu 10/15.</t>
  </si>
  <si>
    <t>10/15|10</t>
  </si>
  <si>
    <t>Comment détermine-t-on la médiane d’une série statistique ?</t>
  </si>
  <si>
    <t>On classe les valeurs dans l’ordre croissant. Si l’effectif est impair, on prend la valeur centrale. Si l’effectif est pair, on fait la moyenne des 2 valeurs centrales.</t>
  </si>
  <si>
    <t>On classe les valeurs dans l’ordre croissant, puis on prend la valeur centrale si l’effectif est impair, ou la moyenne des deux valeurs centrales si l’effectif est pair.|On classe les valeurs dans l’ordre décroissant, puis on prend la valeur centrale si l’effectif est pair, ou la moyenne des deux valeurs centrales si l’effectif est impair.|On classe les valeurs dans l’ordre croissant, puis on prend la première valeur si l’effectif est impair et la dernière valeur si l’effectif est pair.</t>
  </si>
  <si>
    <t>Voici la série de notes sur 15 d’un élève : 15 ; 12 ; 3 ; 14 ; 5 ; 11 ; 10. Quelle est la médiane de ses notes ?</t>
  </si>
  <si>
    <t>On classe dans l’ordre croissant : 3 ; 5 ; 10 ; 11 ; 12 ; 14 ; 15 La médiane est 11/15 Il a autant de notes qui sont inférieures ou égales à 11/15 que de notes qui sont supérieures ou égales à 11/15</t>
  </si>
  <si>
    <t>11|11/15</t>
  </si>
  <si>
    <t>Voici la répartition des âges des membres d’un club de voile juniors. Quel est l’âge médian des membres ?</t>
  </si>
  <si>
    <t>On classe dans l’ordre croissant les âges en tenant compte de l’effectif de chaque âge. L’effectif total est 50, on prend la 25è valeur et la 26 è valeur soit 14 ans et 16 ans. La moyenne de ces 2 âges est donc 15 ans. La médiane est donc 15 ans. Interprétation : Il y autant de membres de 15 ans ou moins que de membres de 15 ans ou plus.</t>
  </si>
  <si>
    <t>15|15 ans</t>
  </si>
  <si>
    <t>Voici la répartition des âges des membres d’un club de voile juniors. Quel est l’âge moyen des membres ?</t>
  </si>
  <si>
    <t>13×6+15×5+16×10+18×14+19×15 / 50 =850  / 50 =17 L’âge moyen est 17 ans.</t>
  </si>
  <si>
    <t>17|17 ans</t>
  </si>
  <si>
    <t>Qu’est-ce que l’étendue d’une série ?</t>
  </si>
  <si>
    <t>C’est la différence entre la valeur maximale et la valeur minimale de la série.</t>
  </si>
  <si>
    <t>C’est la différence entre la valeur maximale et la valeur minimale de la série.|C’est la somme de la valeur maximale et de la valeur minimale de la série.|C’est le rapport entre la valeur maximale et la valeur minimale de la série.</t>
  </si>
  <si>
    <t>Voici des températures relevées en degrés Celsius: 13°C ; 21°C ; 19°C ; 18°C ; 27°C et 15°C Quelle est l’étendue de cette série ?</t>
  </si>
  <si>
    <t>27 – 13 = 14 L’étendue est 14 °C</t>
  </si>
  <si>
    <t>14|14°C</t>
  </si>
  <si>
    <t>Voici des températures relevées en degrés Celsius: 13°C ; 21°C ; 19°C ; 18°C ; 27°C et 15°C Quelle est la température médiane de ces relevés ?</t>
  </si>
  <si>
    <t>On classe dans l’ordre croissant : 13 ; 15 ; 18 ; 19 ; 21 ; 27 (18+19) /2 = 18,5 La médiane est 18,5°C</t>
  </si>
  <si>
    <t>18,5°C|18,5</t>
  </si>
  <si>
    <t>Voici des températures relevées en degrés Celsius: 13°C ; 21°C ; 19°C ; 18°C ; 28°C et 15°C Quelle est la température moyenne de ces relevés ?</t>
  </si>
  <si>
    <t>13+15+18+19+21+28 / 6 =114 / 6 =19 La température moyenne est 19°C.</t>
  </si>
  <si>
    <t>19|19°C</t>
  </si>
  <si>
    <t>Toutes les notes d’Eléonore sont comprises entre 8 et 12, sa moyenne est… a/ 12 b/ 4 c/ 10 d/ Comprise entre 8 et 12</t>
  </si>
  <si>
    <t>Réponse d/ comprise entre 8 et 12</t>
  </si>
  <si>
    <t>d|a|b|c</t>
  </si>
  <si>
    <t>Vrai ou faux ? « Si on ajoute 5 à chaque valeur d’une série, alors son étendue augmente de 5 ».</t>
  </si>
  <si>
    <t>Faux, l’étendue reste identique</t>
  </si>
  <si>
    <t>Vrai ou faux ? « Si on ajoute 5 à chaque valeur d’une série, alors sa moyenne augmente de 5 ».</t>
  </si>
  <si>
    <t>Vrai ou faux ? « Si on ajoute 5 à chaque valeur d’une série, alors sa médiane augmente de 5 ».</t>
  </si>
  <si>
    <t>Maël a reçu 4 notes en anglais lors de ce trimestre : 11/20 (coefficient 2); 14/20 (coefficient 1); 12/20 (coefficient 2) et 17/20 (coefficient 3) Quelle est sa moyenne trimestrielle en anglais ?</t>
  </si>
  <si>
    <t>Sa moyenne est 13,875 Le total des coefficients donne : 2+1+2+3 = 8 (C’est comme si Maël avait reçu 8 notes) 11 x 2 + 14 x 1 + 12 x 2 + 17 x 3 = 111 Il a eu en tout 111 points. La moyenne est donc 111/8 = 13,875.</t>
  </si>
  <si>
    <t>13,875|13,875/20</t>
  </si>
  <si>
    <t>Trouver la valeur manquante dans cette série pour que la médiane soit 10 : 15 ; ? ; 8 ; 11 ; 20 ; 6</t>
  </si>
  <si>
    <t>La valeur manquante est 9. Classons dans l’ordre croissant : 6 ; 8 ; 11 ; 15 ; 20 pour l’instant la médiane est 11 plaçons 9 et la médiane devient 10.</t>
  </si>
  <si>
    <t>Pour un spectacle de gym, l’entrée est payante suivant 3 catégories d’âge les moins de 10 ans, les 11 à 18 ans et les adultes. Quel est le prix moyen d’une entrée ?</t>
  </si>
  <si>
    <t>2×60+4×40+5×10 / 110 =330 / 110=3 Le prix moyen d’une entrée est 3 €</t>
  </si>
  <si>
    <t>3|3 €</t>
  </si>
  <si>
    <t>Pour un spectacle de gym, l’entrée est payante suivant 3 catégories d’âge les moins de 10 ans, les 11 à 18 ans et les adultes. Quel est le prix médian d’une entrée ?</t>
  </si>
  <si>
    <t>Il y a 110 entrées : 60 à 2 € ; 40 à 4 € et 10 à 5 € On prend la 55è valeur et la 56è valeur soit 2 € Le prix médian est 2 €</t>
  </si>
  <si>
    <t>2|2€</t>
  </si>
  <si>
    <t xml:space="preserve">Pour un spectacle de gym, l’entrée est payante suivant 3 catégories d’âge les moins de 10 ans, les 11 à 18 ans et les adultes. Quelle est l’étendue du tarif des entrées ? </t>
  </si>
  <si>
    <t>5 – 2 = 3 L’étendue des tarifs est 3 €</t>
  </si>
  <si>
    <t>3|3€</t>
  </si>
  <si>
    <t>Dans ce tableur d’effectifs, quelle formule faut il saisir pour obtenir l’effectif total dans D1 ?</t>
  </si>
  <si>
    <t>= SOMME (A1 :C1) ou =A1 + B1 + C1</t>
  </si>
  <si>
    <t>D1= SOMME (A1 : C1) ou = A1 + B1 + C1|D1= MOYENNE (A1 : C1) ou = A1 / B1 / C1|D1= MOYENNE (A1 : C1) ou = A1 + B1 + C1</t>
  </si>
  <si>
    <t>Trouver la valeur manquante dans cette série pour que l’étendue soit 10 : 15 ; ? ; 8 ; 11 ; 20 ; 6</t>
  </si>
  <si>
    <t>6 + 10 = 16 C’est 16</t>
  </si>
  <si>
    <t>Trouver la valeur manquante dans cette série pour que la moyenne soit 13 : 15 ; ? ; 8 ; 11 ; 20 ; 6</t>
  </si>
  <si>
    <t>60 + ? = 13 x 6 = 7 ! ? = 18 La note manquante est 18</t>
  </si>
  <si>
    <t>Dans une entreprise les salaires ont augmenté de 5%. Soit ! le salaire d’une personne avant l’augmentation. Exprimer le nouveau salaire N en fonction de !. Est-ce une situation de proportionnalité ? (Si oui, donner son coefficient de proportionnalité)</t>
  </si>
  <si>
    <t>N(x) = 1,05 x C’est une situation de proportionnalité, son coefficient est 1,05</t>
  </si>
  <si>
    <t>VFRDS</t>
  </si>
  <si>
    <t>V|1,05</t>
  </si>
  <si>
    <t>Pendant les soldes, un magasin vend tous ses articles avec 40 % de remise. Soit ! le prix d’un article avant la réduction. Exprimer le nouveau tarif T en fonction de !. Est-ce une situation de proportionnalité ? (Si oui, donner son coefficient de proportionnalité)</t>
  </si>
  <si>
    <t>T(x) = 0,6 x C’est une situation de proportionnalité, son coefficient est 0,4</t>
  </si>
  <si>
    <t>V|0,4</t>
  </si>
  <si>
    <t>Un magasin propose une réduction sur chacun de ses articles de 10 €. Soit ! le prix d’un article avant la réduction. Exprimer le nouveau tarif T en fonction de !. Est-ce une situation de proportionnalité ? (Si oui, donner son coefficient de proportionnalité)</t>
  </si>
  <si>
    <t>T(x) = x - 10 Ce n’est pas une situation de proportionnalité</t>
  </si>
  <si>
    <t>Des parents décident d’augmenter de 2 € chaque mois l’argent de poche de leur enfant. Soit ! le montant de l’argent de poche du mois en cours. Exprimer le montant M de l’argent de poche du mois suivant en fonction de !. Est-ce une situation de proportionnalité ? (Si oui, donner son coefficient de proportionnalité)</t>
  </si>
  <si>
    <t>M(x) = x +2 Ce n’est pas une situation de proportionnalité</t>
  </si>
  <si>
    <t>La température en degré Fahrenheit (°F) est obtenue en multipliant par 1,8 la température exprimée en degré Celsius (°C) puis en ajoutant 32. Soit ! la température exprimée en degré Celsius. Exprimer la température T en degré Fahrenheit en fonction de !. Est-ce une situation de proportionnalité ? (Si oui, donner son coefficient de proportionnalité)</t>
  </si>
  <si>
    <t>T(x) = 1,8 x + 32 Ce n’est pas une situation de proportionnalité</t>
  </si>
  <si>
    <t>Un cinéma propose une carte annuelle avec une cotisation de 7 € puis 4 € par séance. Soit ! le nombre de places de cinéma achetées pendant l’année. Exprimer la dépense annuelle D en fonction de !. Est-ce une situation de proportionnalité ? (Si oui, donner son coefficient de proportionnalité)</t>
  </si>
  <si>
    <t>D(x) = 4 x + 7 Ce n’est pas une situation de proportionnalité</t>
  </si>
  <si>
    <t>Le fer à repasser de Joé a une puissance de 2 300 Watts. Exprimer l’énergie E consommée en Wh en fonction du temps de son utilisation ! en heures. Est-ce une situation de proportionnalité ? (Si oui, donner son coefficient de proportionnalité)</t>
  </si>
  <si>
    <t>D(x) = 2 300 x C’est une situation de proportionnalité, son coefficient est 2 300</t>
  </si>
  <si>
    <t>V|2300</t>
  </si>
  <si>
    <t>Une toile rectangulaire d’un peintre a été agrandie par 5. Exprimer l’aire A de la toile agrandie en fonction de l’aire de la toile initiale !. Est-ce une situation de proportionnalité ? (Si oui, donner son coefficient de proportionnalité)</t>
  </si>
  <si>
    <t>D(x) = 25 x C’est une situation de proportionnalité, son coefficient est 25</t>
  </si>
  <si>
    <t>V|25</t>
  </si>
  <si>
    <t>Parmi les nombres suivants, lesquels ne peuvent pas représenter une probabilité ? 0,8 ; 15/4 ; 13 ; - 0,5 ; 75/100 ; 1,2</t>
  </si>
  <si>
    <t>Une probabilité est comprise entre 0 et 1 Donc 15/4 ; 13 ; -0,5 ; 1,2 ne sont pas des probabilités.</t>
  </si>
  <si>
    <t>RCV</t>
  </si>
  <si>
    <t>15/4|13|-0,5|1,2</t>
  </si>
  <si>
    <t>Un dé numéroté de 1 à 6 est lancé. Quelles sont les issues possibles ?</t>
  </si>
  <si>
    <t>1 ; 2 ; 3 ; 4. 5 ; et 6</t>
  </si>
  <si>
    <t>1[2|3|4|5|6</t>
  </si>
  <si>
    <t>Qu’est-ce qu’une situation d’équiprobabilité ?</t>
  </si>
  <si>
    <t>Lorsque toutes les issues ont la même probabilité</t>
  </si>
  <si>
    <t>Lorsque toutes les issues ont la même probabilité.|Lorsque toutes les issues ont des probabilités égales ou supérieures à 1.|Lorsque les probabilités des issues sont inverses les unes des autres.</t>
  </si>
  <si>
    <t>Qu’est-ce qu’un évènement certain ?</t>
  </si>
  <si>
    <t>C’est un évènement qui est sûr de se réaliser. Sa probabilité est 1.</t>
  </si>
  <si>
    <t>C’est un évènement qui est sûr de se réaliser. Sa probabilité est 1.|C’est un évènement qui est sûr de se réaliser, sa probabilité est de 0.|C’est un évènement qui a plus de chances de se réaliser que les autres.</t>
  </si>
  <si>
    <t>Qu’est-ce qu’un évènement impossible ?</t>
  </si>
  <si>
    <t>C’est un évènement qui est sûr de ne pas se réaliser. Sa probabilité est 0.</t>
  </si>
  <si>
    <t>’est un évènement qui est sûr de ne pas se réaliser. Sa probabilité est 0.|C’est un évènement qui a très peu de chances de se réaliser.|C’est un évènement qui a une probabilité inférieure à 0.</t>
  </si>
  <si>
    <t>Lors d’un lancer de dé numéroté de 1 à 6 Soit A l’évènement « obtenir un nombre pair ». Quel est son évènement contraire ?</t>
  </si>
  <si>
    <t>« Obtenir un nombre impair »</t>
  </si>
  <si>
    <t>« Obtenir un nombre impair ».|« Obtenir un nombre pair et un impair ».|« obtenir un nombre pair »</t>
  </si>
  <si>
    <t>Lors d’un lancer de dé numéroté de 1 à 6 Soit A l’évènement « obtenir un nombre pair ». Soit B l’évènement « obtenir 3 ». Que peut-on dire de ces 2 évènements ?</t>
  </si>
  <si>
    <t>Ils sont incompatibles.</t>
  </si>
  <si>
    <t>Ils sont incompatibles.|Ils sont compatibles.|Ils sont possibles mais indépendants.</t>
  </si>
  <si>
    <t>Si la probabilité d’un évènement est 0,6. Quelle est la probabilité de son évènement contraire ?</t>
  </si>
  <si>
    <t>1-0,6 = 0,4 C’est 0,4</t>
  </si>
  <si>
    <t>On place dans un sac opaque, 3 boules bleues numérotées de 1 à 3 et 5 boules vertes numérotées de 1 à 5 indiscernables au toucher. Quelle est la probabilité d’obtenir un numéro pair ?</t>
  </si>
  <si>
    <t>Obtenir 2 en bleu ou 2 ou 4 en vert. Donc la probabilité est 3 / 8</t>
  </si>
  <si>
    <t>On place dans un sac opaque, 3 boules bleues numérotées de 1 à 3 et 5 boules vertes numérotées de 1 à 5 indiscernables au toucher. Quelle est la probabilité d’obtenir un numéro impair ?</t>
  </si>
  <si>
    <t>Obtenir 1 ou 3 en bleu et 1 ou 3 ou 5 en vert. Donc la probabilité est 5 / 8</t>
  </si>
  <si>
    <t>On place dans un sac opaque, 3 boules bleues numérotées de 1 à 3 et 5 boules vertes numérotées de 1 à 5 indiscernables au toucher. Quelle est la probabilité d’obtenir une boule verte ?</t>
  </si>
  <si>
    <t>La probabilité est 5 / 8</t>
  </si>
  <si>
    <t>On place dans un sac opaque, 3 boules bleues numérotées de 1 à 3 et 5 boules vertes numérotées de 1 à 5 indiscernables au toucher. Quelle est la probabilité d’obtenir le numéro 4 ?</t>
  </si>
  <si>
    <t>Il n’y a qu’une seule boule numéro 4 La probabilité est 1 / 8</t>
  </si>
  <si>
    <t>On place dans un sac opaque, 2 boules bleues numérotées de 1 à 2 et 3 boules vertes numérotées de 1 à 3 indiscernables au toucher. On tire une boule, on regarde la couleur puis sans la remettre dans le sac, on tire une seconde boule et on regarde la couleur Quelle est la probabilité d’avoir 2 couleurs différentes ?</t>
  </si>
  <si>
    <t>La probabilité est 12 / 20 ou 3/5</t>
  </si>
  <si>
    <t>On écrit sur des jetons différents mais indiscernables au toucher les lettres suivantes : P, Y, T, H, A, G, O, R, E Quelle est la probabilité d’obtenir une voyelle ?</t>
  </si>
  <si>
    <t>Les voyelles sont : Y, A, O, E La probabilité est 4 / 9</t>
  </si>
  <si>
    <t>On écrit sur des jetons différents mais indiscernables au toucher les lettres suivantes : M, A, T, H, E M, A, T, I, Q, U, E, S Quelle est la probabilité d’obtenir une consonne ?</t>
  </si>
  <si>
    <t>La probabilité est 7 / 13</t>
  </si>
  <si>
    <t>Nous possédons un cadenas permettant de choisir un code à 3 chiffres. Quelle est la probabilité d’obtenir un code à 3 chiffres identiques ?</t>
  </si>
  <si>
    <t>La probabilité est 10 / 1 000 soit 1/100</t>
  </si>
  <si>
    <t>10/1000|1/100</t>
  </si>
  <si>
    <t>Encadrer par deux entiers consécutifs √19</t>
  </si>
  <si>
    <t>Nombres</t>
  </si>
  <si>
    <t>4&lt;√19&lt;5</t>
  </si>
  <si>
    <t>4 &lt; √19 &lt; 5|3 &lt; √19 &lt; 4|5 &lt; √19 &lt; 6</t>
  </si>
  <si>
    <t>Donner une valeur approchée par défaut de √32 au dixième près.</t>
  </si>
  <si>
    <t>Donner une valeur arrondie au millième près de 4/7</t>
  </si>
  <si>
    <t>Donner une valeur approchée par excès au centième près de 13/14</t>
  </si>
  <si>
    <t>Comment détecte-t-on un nombre divisible par 2 ? (Citer son critère de divisibilité)</t>
  </si>
  <si>
    <t>Le nombre doit se terminer par 0 ; 2 ; 4 ; 6 ou 8</t>
  </si>
  <si>
    <t>Le nombre doit se terminer par 0, 2, 4, 6 ou 8.|Le nombre doit avoir une somme de chiffres paire.|Le nombre doit être pair, donc se terminer par 1, 3, 5, 7 ou 9.</t>
  </si>
  <si>
    <t>Comment détecte-t-on un nombre divisible par 3 ? (Citer son critère de divisibilité)</t>
  </si>
  <si>
    <t>On fait la somme des chiffres du nombre et cette somme doit être dans la table de 3.</t>
  </si>
  <si>
    <t>On fait la somme des chiffres du nombre et cette somme doit être dans la table de 3.|On additionne les chiffres du nombre, et cette somme doit être un nombre pair.|On additionne les chiffres du nombre, et cette somme doit être un nombre impair.</t>
  </si>
  <si>
    <t>Comment détecte-t-on un nombre divisible par 9 ? (Citer son critère de divisibilité)</t>
  </si>
  <si>
    <t>On fait la somme des chiffres du nombre et cette somme doit être dans la table de 9.</t>
  </si>
  <si>
    <t>On fait la somme des chiffres du nombre et cette somme doit être dans la table de 9.|Le nombre doit être divisible par 3 mais impair.|Le nombre doit être divisible par 9 mais impair.</t>
  </si>
  <si>
    <t>Comment détecte-t-on un nombre divisible par 4 ? (Citer son critère de divisibilité)</t>
  </si>
  <si>
    <t>Les 2 derniers chiffres du nombre forment un nombre dans la table de 4.</t>
  </si>
  <si>
    <t>Les deux derniers chiffres du nombre forment un nombre dans la table de 4.|Le nombre doit être pair et la somme de ses chiffres doit être paire.|Les deux derniers chiffres du nombre forment un nombre dans la table de 4.</t>
  </si>
  <si>
    <t>Qu'est-ce qu'un nombre premier ?</t>
  </si>
  <si>
    <t>C’’est un nombre qui possède 2 diviseurs différents uniquement : 1 et lui-même.</t>
  </si>
  <si>
    <t>C’est un nombre qui possède 2 diviseurs différents uniquement : 1 et lui-même.|C’est un nombre qui a un seul diviseur : lui-même.|C’est un nombre pair divisible par 1 et par lui-même.</t>
  </si>
  <si>
    <t>Un nombre entier est-il un nombre décimal ?</t>
  </si>
  <si>
    <t>Oui sa partie décimale est nulle.</t>
  </si>
  <si>
    <t>Oui, sa partie décimale est nulle.|Oui, mais seulement si on l'écrit sous forme de fraction décimale.|Non, les nombres entiers ne sont jamais des nombres décimaux.</t>
  </si>
  <si>
    <t>Donner la composition en produits de facteurs premiers de 990</t>
  </si>
  <si>
    <t>2 x 3 x 3 x 5</t>
  </si>
  <si>
    <t>2×3×3×5×11|2×3×3×5×7|2×3×5×11</t>
  </si>
  <si>
    <t>1 est-il un nombre premier ?</t>
  </si>
  <si>
    <t>Non il n’a qu’un seul diviseur</t>
  </si>
  <si>
    <t>Vrai ou faux ? Tous les nombres pairs sont des nombres qui ne sont pas premiers.</t>
  </si>
  <si>
    <t>Faux 2 est pair et un nombre premier. C’est le seul.</t>
  </si>
  <si>
    <t>Donner la décomposition en produits de facteurs premiers de 147</t>
  </si>
  <si>
    <t>3 x 7 x 7</t>
  </si>
  <si>
    <t>3×7×7|2×3×7|3×5×7</t>
  </si>
  <si>
    <t>Donner 3 multiples d e21 compris entre 25 et 100</t>
  </si>
  <si>
    <t>42 ; 63 ; 84</t>
  </si>
  <si>
    <t>42;63;84|21;42;84|42;53;74</t>
  </si>
  <si>
    <t>Donner tous les diviseurs de 42</t>
  </si>
  <si>
    <t>1 ; 2 ; 3 ; 6 ; 7 ; 14 ; 21 ; 42</t>
  </si>
  <si>
    <t>1|2|3|6|7|14|21|42</t>
  </si>
  <si>
    <t>Quel est le plus grand diviseur commun entre 210 et 330 ?</t>
  </si>
  <si>
    <t>210 = 2 x 3 x 5 x 7   330 = 2 x 3 x 5 x 11 Le plus grand diviseur commun est 2 x 3 x 5 soit 30</t>
  </si>
  <si>
    <t>Comment savoir si un nombre est divisible par 17 ?</t>
  </si>
  <si>
    <t>Il faut effectuer la division euclidienne de ce nombre par 17 et si le reste est nul alors le nombre est divisible par 17.</t>
  </si>
  <si>
    <t>Il faut effectuer la division euclidienne de ce nombre par 17 et si le reste est nul, alors le nombre est divisible par 17.|Il faut vérifier si la somme des chiffres est un multiple de 17.|Il faut soustraire 17 du nombre et si le résultat est un multiple de 10, alors le nombre est divisible par 17.</t>
  </si>
  <si>
    <t>Vrai ou faux ? Si on divise le numérateur et le dénominateur d’une fraction par un diviseur commun, alors on obtient une fraction irréductible.</t>
  </si>
  <si>
    <t>Faux Il faut que le diviseur commun soit le plus grand. Contre-exemple : 42 / 30 est simplifiable par 2 mais ça ne rend pas cette fraction irréductible.</t>
  </si>
  <si>
    <t>73 est-il un nombre premier ?</t>
  </si>
  <si>
    <t>Oui car il n’y a que 2 diviseurs de 1 et 73.</t>
  </si>
  <si>
    <t xml:space="preserve">289 est-il un nombre premier ? </t>
  </si>
  <si>
    <t>Non 289 = 17 x 17 289 a 3 diviseurs : 1 ; 17 et 289</t>
  </si>
  <si>
    <t>Est-ce que 3 245 719 est divisible par 3 ?</t>
  </si>
  <si>
    <t>3 + 2 + 4 + 5 + 7 + 1 + 9 =31 31 n’est pas dans la table de 3 3 245 719 n’est pas divisible par 3</t>
  </si>
  <si>
    <t>Est-ce que 3 245 719 est divisible par 4 ?</t>
  </si>
  <si>
    <t>19 n’est pas dans la table de 4 3 245 719 n’est pas divisible par 4</t>
  </si>
  <si>
    <t>Est-ce que 3 245 719 est divisible par 9 ?</t>
  </si>
  <si>
    <t>3 + 2 + 4 + 5 + 7 + 1 + 9 =31 31 n’est pas dans la table de 9 3 245 719 n’est pas divisible par 9</t>
  </si>
  <si>
    <t>Une guirlande électrique est constituée de lumières bleues et blanches. Les lumières bleues s'allument toutes les 5 s et les blanches toutes les 3 s. À un instant donné, on voit les lumières bleues et blanches allumées en même temps. 1/ Au bout de combien de temps ce phénomène se reproduira-t-il la prochaine fois ? 2/ Les lumières bleues et blanches se seront allumées combien de fois ?</t>
  </si>
  <si>
    <t>1/ Au bout de 15 s 2/ Au bout de 5 fois pour la lumière blanche et au bout de 3 fois pour la lumière bleue.</t>
  </si>
  <si>
    <t>1/ Au bout de 15 secondes 2/ La lumière blanche s'allume 5 fois et la lumière bleue 3 fois.|1/ Au bout de 10 secondes 2/ La lumière blanche s'allume 4 fois et la lumière bleue 2 fois.|1/ Au bout de 12 secondes 2/ La lumière blanche s'allume 3 fois et la lumière bleue 4 fois.</t>
  </si>
  <si>
    <t>Un professeur organise une sortie pédagogique à la cité de la voile pour ses élèves de 3eme. Il est accompagné de 168 garçons et de 180 filles. Il souhaite répartir tous les élèves en réalisant un maximum de groupes contenant tous le même nombre de garçons et le même nombre de filles. Comment répartir les élèves ? Combien de groupes y aura-t-il ?</t>
  </si>
  <si>
    <t>168 = 2 x 2 x 2 x 3 x 7 180 = 2 x 2 x 3 x 3 x 5 Le plus grand diviseur commun de 168 et 180 est 12. Il y aura 12 groupes composés de 15 filles et 14 garçons</t>
  </si>
  <si>
    <t>12 groupes avec 15 filles et 14 garçons|14 groupes avec 13 filles et 12 garçons|8 groupes avec 18 filles et 21 garçons</t>
  </si>
  <si>
    <t>Qu’est-ce que l’opposé d’un nombre ?</t>
  </si>
  <si>
    <t>La somme d’un nombre et de son opposé est 0. On change le signe du nombre. Par exemple l’opposé du nombre a est -a</t>
  </si>
  <si>
    <t>L’opposé d’un nombre est le nombre qui, additionné à celui-ci, donne 0. Par exemple, l’opposé de a est −a.|La somme d’un nombre et de son opposé est 1. On change le signe du nombre.|La somme de deux opposés est égale à 2 fois le nombre.</t>
  </si>
  <si>
    <t>Qu’est-ce que l’inverse d’un nombre ?</t>
  </si>
  <si>
    <t>Le produit d’un nombre et de son inverse est 1 L’inverse de a est 1/a</t>
  </si>
  <si>
    <t>L’inverse d’un nombre est celui qui, multiplié par le nombre, donne 1 .L’inverse de a est a/1.|L’inverse d’un nombre est celui qui, additionné au nombre, donne 1.|L’inverse d’un nombre est celui qui, multiplié par le nombre, donne 0.</t>
  </si>
  <si>
    <t xml:space="preserve">Un nombre décimal est-il un nombre entier ? </t>
  </si>
  <si>
    <t>Non, contre-exemple 13,5 est un nombre décimal mais n’est pas un nombre entier.</t>
  </si>
  <si>
    <t>a et b. Pas c car 39 = 3 x 13</t>
  </si>
  <si>
    <t>a et b|a et c|b</t>
  </si>
  <si>
    <t>Décomposer en produit de facteurs premiers 360</t>
  </si>
  <si>
    <t>360 = 2³ x 3² x 5</t>
  </si>
  <si>
    <t>2³×3²×5|2²×3³×5|3²×4×5</t>
  </si>
  <si>
    <t>Décomposer en produit de facteurs premiers 2 530</t>
  </si>
  <si>
    <t>2 530 = 2 x 5 x 11 x 23</t>
  </si>
  <si>
    <t>2×5×11×23|2×3×11×29|2×5×11×21</t>
  </si>
  <si>
    <t>Calculer (4+3)²−12×5</t>
  </si>
  <si>
    <t>49 – 60 = - 11</t>
  </si>
  <si>
    <t>Calculer (−5)²+3×(−4)</t>
  </si>
  <si>
    <t>(−5)²+3×(−4)=25−12=13</t>
  </si>
  <si>
    <t>Calculer −7²−11×2</t>
  </si>
  <si>
    <t>−7²−11×2= −49−22= −50</t>
  </si>
  <si>
    <t>Calculer 3³−13×(−3)</t>
  </si>
  <si>
    <t>3³−13×(−3)=27+39=33</t>
  </si>
  <si>
    <t>Calculer −4²+12−(13−6)×(5+6)</t>
  </si>
  <si>
    <t>−16+12−7×11=−4−77= −80</t>
  </si>
  <si>
    <t>Calculer 10×3÷5×4</t>
  </si>
  <si>
    <t>2×3×4=67</t>
  </si>
  <si>
    <t>Calculer 3⁰+32÷4</t>
  </si>
  <si>
    <t>3⁰+32÷4=1+8=9</t>
  </si>
  <si>
    <t>Calculer (7+(10−6))×5÷11×(−4)</t>
  </si>
  <si>
    <t>11×5÷11×(−4)= −69</t>
  </si>
  <si>
    <t>Calculer et simplifier 13/49 ×7/3</t>
  </si>
  <si>
    <t>13/21</t>
  </si>
  <si>
    <t>Calculer et simplifier 3/35 ×−7/4</t>
  </si>
  <si>
    <t>(-3/20)</t>
  </si>
  <si>
    <t>Calculer et simplifier 2 × 5/16</t>
  </si>
  <si>
    <t>Calculer et simplifier 4÷ 10/−16</t>
  </si>
  <si>
    <t>4× −16/10 =−32/5</t>
  </si>
  <si>
    <t>Calculer et simplifier 9/5÷18/8</t>
  </si>
  <si>
    <t>9 / 5÷18 / 8 =9 / 5× 8 / 18= 8 / 10= 4/ 5</t>
  </si>
  <si>
    <t>Calculer 10 × (-8,09)</t>
  </si>
  <si>
    <t>− 80,9</t>
  </si>
  <si>
    <t>Calculer -7,2 × 5</t>
  </si>
  <si>
    <t>Calculer 874 × (-0,1)</t>
  </si>
  <si>
    <t>Calculer et simplifier 15/72−5 /8</t>
  </si>
  <si>
    <t>−46/35</t>
  </si>
  <si>
    <t>Calculer et simplifier 3 /35+−7 /5</t>
  </si>
  <si>
    <t>−30 /72 = −15 *36= -5/12</t>
  </si>
  <si>
    <t>Calculer et simplifier 2+ 5 /16</t>
  </si>
  <si>
    <t>32 /16+ 5 /16= 37/16</t>
  </si>
  <si>
    <t>37/16</t>
  </si>
  <si>
    <t>Calculer et simplifier 1− 10 /−16</t>
  </si>
  <si>
    <t>16 /16+ 10 /16=26 /16=−13/8</t>
  </si>
  <si>
    <t>Calculer et simplifier 9 /5+18 /8 ×2</t>
  </si>
  <si>
    <t>9 /5+6 /4=45 /20+30 /20=75 /20=15/4</t>
  </si>
  <si>
    <t>Calculer -50 × (-60)</t>
  </si>
  <si>
    <t>Calculer 43,98 × (-0,1)</t>
  </si>
  <si>
    <t>Calculer -(-10) × (-43,9)</t>
  </si>
  <si>
    <t>Dans une classe de 30 élèves, il y a 14 garçons. Quel est le ratio garçons : filles ? Donner ce ratio le plus simplifié possible.</t>
  </si>
  <si>
    <t>14 garçons donc 16 filles. Le ratio est 14 : 16 Le ratio simplifié est 7 : 8</t>
  </si>
  <si>
    <t>7| : |8|</t>
  </si>
  <si>
    <t>Pour une citronnade, on utilise 1,25 litres d’eau glacée, 250 mL de sucre et 500 mL de jus de citron. Quel est le ratio eau : citron : sucre ? Donner ce ratio il plus simplifié possible.</t>
  </si>
  <si>
    <t>Le ratio est 1 250 : 500 : 250 Le ratio simplifié est 5 : 2 : 1</t>
  </si>
  <si>
    <t>5| : |2| : |1|</t>
  </si>
  <si>
    <t>Lorsqu’on multiplie un tarif par 0,7. Appliquons nous une réduction ou une augmentation ? De quel pourcentage s’agit-il ?</t>
  </si>
  <si>
    <t>On réduit de 30 %</t>
  </si>
  <si>
    <t>On réduit de 30 %|On augmente de 30 %|On réduit de 70 %</t>
  </si>
  <si>
    <t>Lorsqu’on multiplie un tarif par 1,08. Appliquons nous une réduction ou une augmentation ? De quel pourcentage s’agit-il ?</t>
  </si>
  <si>
    <t>On applique une augmentation de 8 %</t>
  </si>
  <si>
    <t>On applique une augmentation de 8 %|On applique une réduction de 8 %|On applique une réduction de 0,92 %</t>
  </si>
  <si>
    <t>Un article passe de 35 € à 25 €. Quel est le pourcentage de réduction ? Arrondir à l’unité</t>
  </si>
  <si>
    <t>(35 – 25)/35 x 100 ≈28,57 Le pourcentage arrondi à l’unité est 29 %</t>
  </si>
  <si>
    <t>29|29%</t>
  </si>
  <si>
    <t>Un article passe de 25 € à 35 €. Quel est le pourcentage d’augmentation ?</t>
  </si>
  <si>
    <t>(35-25)/25 x 100 = 40 Le pourcentage d’augmentation est 40%</t>
  </si>
  <si>
    <t>Un article passe de 116 € à 89 €. Quel est le pourcentage de réduction ? Arrondir à l’unité</t>
  </si>
  <si>
    <t>(116 – 89)/116 x 100 ≈23,27 Le pourcentage arrondi à l’unité est 23 %</t>
  </si>
  <si>
    <t>23|23%</t>
  </si>
  <si>
    <t>Un article passe de 89 € à 116 €. Quel est le pourcentage d’augmentation ? Arrondir à l’unité</t>
  </si>
  <si>
    <t>(116-89)/89 x 100 ≈30,33 Le pourcentage d’augmentation est 30%</t>
  </si>
  <si>
    <t>Calculer le tiers de  0,24</t>
  </si>
  <si>
    <t>Calculez le  cinqième de -4,5</t>
  </si>
  <si>
    <t>Calculez le  quart de 0,032</t>
  </si>
  <si>
    <t>Calculez lz moitié de -37,5</t>
  </si>
  <si>
    <t>Calculer √64+√25</t>
  </si>
  <si>
    <t>8+5=13</t>
  </si>
  <si>
    <t>Calculer −√81+√16</t>
  </si>
  <si>
    <t>−9+4=−5</t>
  </si>
  <si>
    <t>Calculer −√9−√100</t>
  </si>
  <si>
    <t>−3−10=−13</t>
  </si>
  <si>
    <t>Calculer √49/2</t>
  </si>
  <si>
    <t>Calculez les deux tiers de 1,5</t>
  </si>
  <si>
    <t>Calculez les trois cinquièmes de -45</t>
  </si>
  <si>
    <t>Calculez les sept quarts de 3,6</t>
  </si>
  <si>
    <t>Calculez les neuf septièmes de -630</t>
  </si>
  <si>
    <t>Calculer −6×150</t>
  </si>
  <si>
    <t>Calculer 11×2 300</t>
  </si>
  <si>
    <t>Calculer 6,2×1 100</t>
  </si>
  <si>
    <t>Quel est le nombre qui, multiplié par 11, donne 3 ?</t>
  </si>
  <si>
    <t>Quel est le nombre qui, multiplié par -17, donne 5 ?</t>
  </si>
  <si>
    <t>Quel est le nombre qui, ajouté à -2, donne 19 ?</t>
  </si>
  <si>
    <t>Quel est le nombre qui, ajouté à -7, donne -3 ?</t>
  </si>
  <si>
    <t>Quel est le nombre qui, ajouté à -4, donne -32 ?</t>
  </si>
  <si>
    <t>Déterminer la valeur de x   x / 11=14 / 7</t>
  </si>
  <si>
    <t>Déterminer la valeur de x  x / 3,6=7/  9</t>
  </si>
  <si>
    <t>Déterminer la valeur de x 4,8/x =−6 /10</t>
  </si>
  <si>
    <t>Déterminer la valeur de x 6,1 /−3= x / 1,2</t>
  </si>
  <si>
    <t>Calculer -11²</t>
  </si>
  <si>
    <t>Calculer (-12)²</t>
  </si>
  <si>
    <t>Calculer −5³</t>
  </si>
  <si>
    <t>Calculer 4×10^-3</t>
  </si>
  <si>
    <t>Calculer 5,7 ×10²</t>
  </si>
  <si>
    <t>10^10</t>
  </si>
  <si>
    <t>10^10|</t>
  </si>
  <si>
    <t>10^-20</t>
  </si>
  <si>
    <t>Combien y a-t-il de semaines dans 3 années ?</t>
  </si>
  <si>
    <t>3 x 52 = 156 semaines</t>
  </si>
  <si>
    <t>156|156 semaines</t>
  </si>
  <si>
    <t>Convertir 12,56 dm en m</t>
  </si>
  <si>
    <t>1,256 m</t>
  </si>
  <si>
    <t>1,256|1,256 m</t>
  </si>
  <si>
    <t>Convertir 135 m² en cm²</t>
  </si>
  <si>
    <t>1350000 cm²</t>
  </si>
  <si>
    <t>1350000|1350000 cm²</t>
  </si>
  <si>
    <t>Convertir 374,56 m en hm</t>
  </si>
  <si>
    <t>3,7456 hm</t>
  </si>
  <si>
    <t>3,7456|3,7456 hm</t>
  </si>
  <si>
    <t>Convertir 523 731,9 dm² en dam²</t>
  </si>
  <si>
    <t>52,373 19 dm²</t>
  </si>
  <si>
    <t>52,37319|52,37319 dm²</t>
  </si>
  <si>
    <t>Convertir 3,2 m³ en L</t>
  </si>
  <si>
    <t>3200 L</t>
  </si>
  <si>
    <t>3200|3200 L</t>
  </si>
  <si>
    <t>Convertir 162,84 dam³ en m³</t>
  </si>
  <si>
    <t>162 840 m³</t>
  </si>
  <si>
    <t>162 840|162 840 m³</t>
  </si>
  <si>
    <t>Convertir 4 908,4 mm³ en cm³</t>
  </si>
  <si>
    <t>4,908 4 cm³</t>
  </si>
  <si>
    <t>4,9084|4,9084 cm³</t>
  </si>
  <si>
    <t>Développer et réduire −(4x−11)×2x</t>
  </si>
  <si>
    <t>−8x²+22x</t>
  </si>
  <si>
    <t>-8|x²|22|x|0|</t>
  </si>
  <si>
    <t>Développer et réduire −(5+10x)×3x</t>
  </si>
  <si>
    <t>−15x−30x²</t>
  </si>
  <si>
    <t>-15|x²|-30|x|0|</t>
  </si>
  <si>
    <t>Développer et réduire (8−9x)²</t>
  </si>
  <si>
    <t>81x²−144x+64</t>
  </si>
  <si>
    <t>81|x²|-144|x|64|</t>
  </si>
  <si>
    <t>Développer et réduire (11+5x)²</t>
  </si>
  <si>
    <t>25x²+110x+121</t>
  </si>
  <si>
    <t>25|x²|110|x|121|</t>
  </si>
  <si>
    <t>Développer et réduire (3−4x)(4x+3)</t>
  </si>
  <si>
    <t>9−16x²</t>
  </si>
  <si>
    <t>-16|x²|0|x|9|</t>
  </si>
  <si>
    <t>Développer et réduire (5x+7)(5x−7)</t>
  </si>
  <si>
    <t>25x²−49</t>
  </si>
  <si>
    <t>25|x²|0|x|-49|</t>
  </si>
  <si>
    <t>Factoriser 5x+10</t>
  </si>
  <si>
    <t>5(x+2)</t>
  </si>
  <si>
    <t>5(x+2)|2(x+5)|10(x+0,5)</t>
  </si>
  <si>
    <t>Factoriser 4x²+4x</t>
  </si>
  <si>
    <t>4x(x+1)</t>
  </si>
  <si>
    <t>4x(x+1)|4(x+1)|4x²(x+1)</t>
  </si>
  <si>
    <t>Factoriser 24x+6x²−6</t>
  </si>
  <si>
    <t>6(4x+x²-1)</t>
  </si>
  <si>
    <t>6(4x+x²-1)|3(8x+2x²−2)|3x(8+2x−2)</t>
  </si>
  <si>
    <t>Factoriser en utilisant les identités remarquables 9+12x+4x²</t>
  </si>
  <si>
    <t>(3+2x)²</t>
  </si>
  <si>
    <t>(3+2x)²|(3+x)²|(3x+2)²</t>
  </si>
  <si>
    <t>Factoriser 36x²−49</t>
  </si>
  <si>
    <t>(6x-7)(6x+7)</t>
  </si>
  <si>
    <t>(6x−7)(6x+7)|(7−6x)(7+6x)|(6x+7)(6x−7)</t>
  </si>
  <si>
    <t>Factoriser en utilisant les identités remarquables 16−40x+25x²</t>
  </si>
  <si>
    <t>(4-5x)²</t>
  </si>
  <si>
    <t>(4−5x)²|(5x−4)²|(5−4x)²</t>
  </si>
  <si>
    <t>Factoriser 9−16x²</t>
  </si>
  <si>
    <t>(3-4x)(4x+3)</t>
  </si>
  <si>
    <t>(3−4x)(4x+3)|(3x−4)(3x+4)|(3+4x)(3−4x)</t>
  </si>
  <si>
    <t>Factoriser 100−64x²</t>
  </si>
  <si>
    <t>(10-8x)(10+8x)</t>
  </si>
  <si>
    <t>(10−8x)(10+8x)|(10x−8)(10x+8)|(8−10x)(10+8x)</t>
  </si>
  <si>
    <t>Factoriser en utilisant l’identité remarquable a2-b2   (2+x)²−(3+2x)²</t>
  </si>
  <si>
    <t xml:space="preserve">((2+x)−(3+2x))((2+x)+(3+2x)) = (2+x−3−2x)(2+x+3+2x)  =(−1-x)(5+3x) </t>
  </si>
  <si>
    <t>(−1−x)(5+3x)|(2−3x)(2x+5)|(1+x)(6−3x)</t>
  </si>
  <si>
    <t>Factoriser 25x−25x²</t>
  </si>
  <si>
    <t>25x(1-x)</t>
  </si>
  <si>
    <t>25x(1-x)|25x(1-x²)|25x(1-x)²</t>
  </si>
  <si>
    <t>Quelle est la valeur de cette expression pour x=2 ? 24x−6x²−6</t>
  </si>
  <si>
    <t>Quelle est la valeur de cette expression pour x=3 ? 7−4x+5x²</t>
  </si>
  <si>
    <t>Quelle est la valeur de cette expression pour x=−1 ? −3x+7x²+8</t>
  </si>
  <si>
    <t>Quelle est la valeur de cette expression pour x=−2 ? 8−40x−25x²</t>
  </si>
  <si>
    <t>Résoudre 9−16x²=0</t>
  </si>
  <si>
    <t>(3−4x)(4x+3)=0 2 solutions : 3/4 et - 3/4</t>
  </si>
  <si>
    <t>VFRLD2</t>
  </si>
  <si>
    <t>V|Les 2 solutions sont : |0,75| et |-0,75|</t>
  </si>
  <si>
    <t>Résoudre 100−49x²=0</t>
  </si>
  <si>
    <t>(10−7x)(10+7x)=0 2 solutions : 10/7 et - 10/7</t>
  </si>
  <si>
    <t>V|Les 2 solutions sont : |10/7| et |-10/7|</t>
  </si>
  <si>
    <t>Résoudre 24x−6x²=0</t>
  </si>
  <si>
    <t>6x(4−x)=0 2 solutions : 0 et 4</t>
  </si>
  <si>
    <t>V|Les 2 solutions sont : |0| et |4|</t>
  </si>
  <si>
    <t>Résoudre 49x²+7x=0</t>
  </si>
  <si>
    <t>7x(7x+1)=0 2 solutions : 0 et - 1/7</t>
  </si>
  <si>
    <t>V|Les 2 solutions sont : |0| et |-1/7|</t>
  </si>
  <si>
    <t>Résoudre x²=−8</t>
  </si>
  <si>
    <t>Aucune solution car un nombre au carré ne peut-être négatif.</t>
  </si>
  <si>
    <t>VFRLD1</t>
  </si>
  <si>
    <t>Résoudre 8x−12=10</t>
  </si>
  <si>
    <t>La solution est 2,75</t>
  </si>
  <si>
    <t>V|La solution est : |2,75</t>
  </si>
  <si>
    <t>Résoudre 3x+21=9</t>
  </si>
  <si>
    <t>La solution est −4</t>
  </si>
  <si>
    <t>V|La solution est : |-4</t>
  </si>
  <si>
    <t>Résoudre 5−7x=54</t>
  </si>
  <si>
    <t>La solution est −7</t>
  </si>
  <si>
    <t>V|La solution est : |-7</t>
  </si>
  <si>
    <t>Résoudre x²=− 12</t>
  </si>
  <si>
    <t>Résoudre 4(x−8)=6</t>
  </si>
  <si>
    <t>4x−32=6 La solution est 9,5</t>
  </si>
  <si>
    <t>V|La solution est : |9,5</t>
  </si>
  <si>
    <t>Résoudre 5(3x−7)=−40</t>
  </si>
  <si>
    <t>15x−35=−40 La solution est -1/3</t>
  </si>
  <si>
    <t>V|La solution est : |-1/3</t>
  </si>
  <si>
    <t>Résoudre 2x−7=42+6x</t>
  </si>
  <si>
    <t>La solution est -12,25</t>
  </si>
  <si>
    <t>V|La solution est : |-12,25</t>
  </si>
  <si>
    <t>Résoudre 19−3x=−8x+7</t>
  </si>
  <si>
    <t>La solution est −2,4</t>
  </si>
  <si>
    <t>V|La solution est : |-2,4</t>
  </si>
  <si>
    <t>Après avoir développé, résoudre 6(2x−5)+3(x−7)=15</t>
  </si>
  <si>
    <t>Après avoir développé, résoudre 9(x+7)−4(3x−8)=62</t>
  </si>
  <si>
    <t>−3x+95=62 La solution est 11</t>
  </si>
  <si>
    <t>V|La solution est : |11</t>
  </si>
  <si>
    <t>Après avoir factorisé, résoudre (3x+1)(2x+5)+4(3x+1)=0</t>
  </si>
  <si>
    <t>(3x+1)(2x+9)=0 Les 2 solutions sont −1/3 et -4,5</t>
  </si>
  <si>
    <t>V|Les 2 solutions sont : |-1/3| et |-4,5|</t>
  </si>
  <si>
    <t>Après avoir factorisé, résoudre (x−8)(4x+11)−7(x−8)=0</t>
  </si>
  <si>
    <t>(x−8)(4x+4)=0 Les 2 solutions sont −1 et 8</t>
  </si>
  <si>
    <t>V|Les 2 solutions sont : |-1| et |8|</t>
  </si>
  <si>
    <t>Après avoir factorisé, résoudre (4x−1)(5x+7)+(3x+9)(4x−1)=0</t>
  </si>
  <si>
    <t>(4x−1)(8x+16)=0 Les 2 solutions sont 1/4 et - 2</t>
  </si>
  <si>
    <t>V|Les 2 solutions sont : |0,25| et |-2|</t>
  </si>
  <si>
    <t>Après avoir développé, résoudre −7(6x+5)−4(x+9)=−8(x−11)−7</t>
  </si>
  <si>
    <t>−46x−71=−8x+81 La solution est -4</t>
  </si>
  <si>
    <t>Résoudre 3x+1/5=7/8</t>
  </si>
  <si>
    <t xml:space="preserve">La solution est 9/40 </t>
  </si>
  <si>
    <t>V|La solution est : |9/40</t>
  </si>
  <si>
    <t>Peut-on avoir plusieurs antécédents par une fonction ?</t>
  </si>
  <si>
    <t>Fonctions</t>
  </si>
  <si>
    <t>Oui, comme pour la fonction carrée</t>
  </si>
  <si>
    <t>Peut-on avoir plusieurs images par une fonction ?</t>
  </si>
  <si>
    <t>Non, l’image est unique.</t>
  </si>
  <si>
    <t>Soit f la fonction définie par f(x)= 8x−9. Quelle est l’image de 10 par la fonction f?</t>
  </si>
  <si>
    <t>C’est 71.</t>
  </si>
  <si>
    <t>Soit f la fonction définie par f(x)= 6x+4. Quelle est l’image de - 5 par la fonction f?</t>
  </si>
  <si>
    <t>C’est - 26</t>
  </si>
  <si>
    <t>Soit f la fonction définie par f(x)= −5x+11. Calculer un antécédent de – 4 par la fonction f.</t>
  </si>
  <si>
    <t>C’est 3.</t>
  </si>
  <si>
    <t>Soit f la fonction définie par f(x)= −7x−2. Calculer un antécédent de -58 par la fonction f.</t>
  </si>
  <si>
    <t>C’est 8.</t>
  </si>
  <si>
    <t>Quel est l’antécédent de -1 par la fonction ℎ:x→−2,5 x−6 ?</t>
  </si>
  <si>
    <t>C’est -2.</t>
  </si>
  <si>
    <t>Quelle est l’image de - 1 par la fonction k: x→−2,5 x²+8 ?</t>
  </si>
  <si>
    <t>C’est 5,5.</t>
  </si>
  <si>
    <t>Quelle est l’image de 4 par cette fonction dont voici la représentation graphique ?</t>
  </si>
  <si>
    <t>C’est 5.</t>
  </si>
  <si>
    <t>Quelle est l’image de 0 par cette fonction dont voici la représentation graphique ?</t>
  </si>
  <si>
    <t>C’est 2.</t>
  </si>
  <si>
    <t>Quel est l’antécédent de -2 par cette fonction dont voici la représentation graphique ?</t>
  </si>
  <si>
    <t>C’est 1.</t>
  </si>
  <si>
    <t>Quel est l’antécédent de 2 par cette fonction dont voici la représentation graphique ?</t>
  </si>
  <si>
    <t>C’est 0.</t>
  </si>
  <si>
    <t>Quelle est l’image de -2 par cette fonction dont voici la représentation graphique ?</t>
  </si>
  <si>
    <t>C’est - 1.</t>
  </si>
  <si>
    <t>Est-ce la représentation graphique d’une fonction affine ?</t>
  </si>
  <si>
    <t>C’est oui, car c’est une droite.</t>
  </si>
  <si>
    <t>Est-ce la représentation graphique d’une fonction linéaire ?</t>
  </si>
  <si>
    <t>C’est non car c’est une droite mais qui ne passe pas par l’origine.</t>
  </si>
  <si>
    <t>Non car ce n’est pas une droite.</t>
  </si>
  <si>
    <t>C’est 0</t>
  </si>
  <si>
    <t>Quelle est l’image de 2 par cette fonction dont voici la représentation graphique ?</t>
  </si>
  <si>
    <t>C’est 4</t>
  </si>
  <si>
    <t>Quels sont les antécédents de 3 par cette fonction dont voici la représentation graphique ?</t>
  </si>
  <si>
    <t>Ce sont 1 et 3.</t>
  </si>
  <si>
    <t>1|3</t>
  </si>
  <si>
    <t xml:space="preserve">Quels sont les antécédents de 0 par cette  fonction dont voici la représentation graphique ? </t>
  </si>
  <si>
    <t>Ce sont 0 et 4.</t>
  </si>
  <si>
    <t>0|4</t>
  </si>
  <si>
    <t xml:space="preserve">Est-ce la représentation graphique d’une fonction affine ? </t>
  </si>
  <si>
    <t>Voici le tableau de valeurs d’une fonction f. Quelle est l’image de 5 par f ?</t>
  </si>
  <si>
    <t>C’est 7.</t>
  </si>
  <si>
    <t>Voici le tableau de valeurs d’une fonction f. Quelle est l’antécédent de 5 par f ?</t>
  </si>
  <si>
    <t>Que représentent a et b dans l’expression de la fonction affine f(x)=ax+b ?</t>
  </si>
  <si>
    <t>a est le coefficient directeur b est l’ordonnée à l’origine.</t>
  </si>
  <si>
    <t>a est le coefficient directeur, b est l'ordonnée à l'origine.|a est l'ordonnée à l'origine, b est le coefficient directeur.|a et b ne représentent rien de spécifique.</t>
  </si>
  <si>
    <t>Le point A(-3 ; -1) est-il sur la représentation graphique de cette fonction f : x-&gt; −3x−1 ?</t>
  </si>
  <si>
    <t>f(-3) = -3 x (-3) -1 = 9 – 1 = 8 A n’est pas sur la représentation graphique de f.</t>
  </si>
  <si>
    <t>Le point A(2 ; - 7) est-il sur la représentation graphique de cette fonction f : x-&gt; −3x−1 ?</t>
  </si>
  <si>
    <t>f(2) = -3 x 2 -1 = - 6 – 1 = -7 A est sur la représentation graphique de f.</t>
  </si>
  <si>
    <t>Quelle est l’expression de cette fonction dont voici la représentation graphique ?</t>
  </si>
  <si>
    <t>f(x)=1/3 x−1</t>
  </si>
  <si>
    <t>f(x)=1/3x−1|f(x)=1/2x−3|f(x)=3x+2</t>
  </si>
  <si>
    <t>f(x)=4/5x−2</t>
  </si>
  <si>
    <t>f(x)=4/5x−2|f(x)=x+4|f(x)=2/3x+1</t>
  </si>
  <si>
    <t>f(x)=−1/2x+2</t>
  </si>
  <si>
    <t>f(x)=−1/2x+2|f(x)=2x−1|f(x)=x+2</t>
  </si>
  <si>
    <t>Parmi ces fonctions, quelles sont celles qui sont des fonctions linéaires? • f: x -&gt; 3x² - 8 • g: x -&gt; 9 x • h: x -&gt; - 10 • i: x -&gt; 17 - 4 x • j: x -&gt; x/11 • k: x -&gt; 13/x</t>
  </si>
  <si>
    <t>Les fonctions g et j.</t>
  </si>
  <si>
    <t>Les fonctions g et j|Les fonctions f et h|Les fonctions g et i</t>
  </si>
  <si>
    <t>Parmi ces fonctions, quelles sont celles qui sont des fonctions affines? • f: x -&gt; 3x2 - 8 • g: x -&gt; 9 x • h: x -&gt; - 10 • i: x -&gt; 17 - 4 x • j: x -&gt; x/11 • k: x -&gt; 13/x</t>
  </si>
  <si>
    <t>Les fonctions g, h, i et j</t>
  </si>
  <si>
    <t>Les fonctions g, h, i et j|Les fonctions g, h, et i|Les fonctions g, h, i et k</t>
  </si>
  <si>
    <t>f(x)=−1/4 x</t>
  </si>
  <si>
    <t>f(x)=−1/4x|f(x)=1/4x|f(x)=1/2x</t>
  </si>
  <si>
    <t>Simplifier 340/2 754 (sans calculatrice)</t>
  </si>
  <si>
    <t>Quel est le plus petit multiple commun de 8 et de 10 ?</t>
  </si>
  <si>
    <t>C’est 40. 8 x 5 = 40 Et 10 x 4 = 40</t>
  </si>
  <si>
    <t>Quel est le plus petit multiple commun de 9 et de 12 ?</t>
  </si>
  <si>
    <t>C’est 36. 9 x 4 = 36 Et 12 x 3 = 36</t>
  </si>
  <si>
    <t>Sans poser de division, quel est le reste de la division euclidienne de 1 609 par 16 ? (sans calculatrice)</t>
  </si>
  <si>
    <t>C’est 9. 1 609 = 16 x 100 +9</t>
  </si>
  <si>
    <t>Vrai ou faux ? « Tous les nombres premiers sont impairs ».</t>
  </si>
  <si>
    <t>Faux, car 2 est le seul nombre pair et premier.</t>
  </si>
  <si>
    <t xml:space="preserve">Sans poser les calculs, le nombre 7 267 est-il divisible par 6 ? </t>
  </si>
  <si>
    <t>Non, 7 267 n’est pas pair or pour qu’un nombre soit divisible par 6, il faut qu’il soit divisible par 2 et par 3.</t>
  </si>
  <si>
    <t xml:space="preserve">Sans poser les calculs, le nombre 3 768 est-il divisible par 6 ? </t>
  </si>
  <si>
    <t>Vrai 3 768 est divisible par 2 (il est pair) 3 768 est divisible par 3 (3+7+6+8 = 24 et 24 est dans la table de 3) 3 768 est divisible par 6.</t>
  </si>
  <si>
    <t>Citer les 4 mots de vocabulaire liés à cette division euclidienne.</t>
  </si>
  <si>
    <t>26 est le dividende 3 est le diviseur 8 est le quotient 2 est le reste</t>
  </si>
  <si>
    <t>RLD4</t>
  </si>
  <si>
    <t>26| est le dividende |3| est le diviseur |8| est le quotient |2| est le reste</t>
  </si>
  <si>
    <t>Quelle formule faut-il inscrire dans la cellule D2 pour calculer le nombre 1 au carré ?</t>
  </si>
  <si>
    <t>Informatique</t>
  </si>
  <si>
    <t>C’est =A2^2 ou = A2*A2 Ou = PUISSANCE(A2 ;2)</t>
  </si>
  <si>
    <t xml:space="preserve">D2 =PUISSANCE(A2;2)|D2 =PUISSANCE(A2;A2)|D2 =MULTI(A2;A2) </t>
  </si>
  <si>
    <t>Quelle formule faut-il inscrire dans la cellule D2 pour calculer la somme des nombre 1, nombre 2 et nombre 3 ?</t>
  </si>
  <si>
    <t>C’est =A2+B2+C2 ou = SOMME(A2 :C2)</t>
  </si>
  <si>
    <t xml:space="preserve">D2 =SOMME(A2:C2)|D2 =SOMME(A2;B2;C2)|D2 =SOMME(A2:B2) </t>
  </si>
  <si>
    <t>Quelle formule faut-il inscrire dans la cellule D2 pour calculer la moyenne des nombre 1, nombre 2 et nombre 3 ?</t>
  </si>
  <si>
    <t>C’est = MOYENNE(A2 :C2)</t>
  </si>
  <si>
    <t>D2 =MOYENNE(A2:C2)|D2 =MOYENNE(A2+B2+C2)|D2 = MOYENNE(A2;B2;C2)</t>
  </si>
  <si>
    <t>Quelle formule faut-il inscrire dans la cellule D2 pour calculer la médiane des nombre 1, nombre 2 et nombre 3 ?</t>
  </si>
  <si>
    <t>C’est = MEDIANE(A2 :C2)</t>
  </si>
  <si>
    <t>D2 =MEDIANE(A2:C2)|D2 =MEDIANE(A2;B2;C2)|D2 =MEDIANE(A2+B2+C2)</t>
  </si>
  <si>
    <t>Quelle formule faut-il inscrire dans la cellule D2 pour calculer l’étendue de la série composée des nombre 1, nombre 2 et nombre 3 ?</t>
  </si>
  <si>
    <t>C’est = MAX(A2 :C2) - MIN(A2 :C2)</t>
  </si>
  <si>
    <t>D2 =MAX(A2:C2)−MIN(A2:C2)|D2 =MAX(A2;B2;C2)−MIN(A2;B2;C2)|D2 =MAX(A2:C2)+MIN(A2:C2)</t>
  </si>
  <si>
    <t>Quelle formule faut-il inscrire dans la cellule D2 pour calculer la différence entre le nombre 3 et le nombre 2 ?</t>
  </si>
  <si>
    <t>C’est = C2 – B2</t>
  </si>
  <si>
    <t>D2 =C2−B2|D2 =C2+B2|D2 =B2−C2</t>
  </si>
  <si>
    <t>Quelle formule faut-il inscrire dans la cellule D2 pour calculer le quotient du nombre 3 par le nombre 1 ?</t>
  </si>
  <si>
    <t>C’est = C2 / A2</t>
  </si>
  <si>
    <t>D2 =C2/A2|D2 =A2/B2|D2 =C2−A2</t>
  </si>
  <si>
    <t>Quelle formule faut-il inscrire dans la cellule D2 pour calculer le produit du nombre 2 et du nombre 1 ?</t>
  </si>
  <si>
    <t>C’est = A2 * B2</t>
  </si>
  <si>
    <t>D2 =A2∗B2|D2 =A2+B2|D2 =A2/B2</t>
  </si>
  <si>
    <t>Quel nombre obtient-on avec ce programme si l’on choisit 10 au départ ?</t>
  </si>
  <si>
    <t>C’est 655</t>
  </si>
  <si>
    <t>Quel nombre obtient-on avec ce programme si l’on choisit 40 au départ ?</t>
  </si>
  <si>
    <t>C’est 30</t>
  </si>
  <si>
    <t>Quel nombre obtient-on avec ce programme si l’on choisit 60 au départ ?</t>
  </si>
  <si>
    <t>C’est 312</t>
  </si>
  <si>
    <t>Quel nombre obtient-on avec ce programme si l’on choisit 30 au départ ?</t>
  </si>
  <si>
    <t>C’est 87</t>
  </si>
  <si>
    <t>Quel nombre obtient-on avec ce programme si l’on choisit 6 au départ ?</t>
  </si>
  <si>
    <t>C’est 146</t>
  </si>
  <si>
    <t>Quel nombre obtient-on avec ce programme si l’on choisit 22 au départ ?</t>
  </si>
  <si>
    <t>C’est 28.</t>
  </si>
  <si>
    <t>Quel nombre obtient-on avec ce programme si l’on choisit 200 au départ ?</t>
  </si>
  <si>
    <t>C’est 2 100</t>
  </si>
  <si>
    <t>Quel nombre obtient-on avec ce programme si l’on choisit 100 au départ ?</t>
  </si>
  <si>
    <t>C’est 900</t>
  </si>
  <si>
    <t>Quelle formule faut-il inscrire dans la cellule B4 pour calculer le nombre 2 au carré ?</t>
  </si>
  <si>
    <t>C’est =B2^2 ou = B2*B2 Ou = PUISSANCE(B2 ;2)</t>
  </si>
  <si>
    <t>B4 =B2²|B4 =B2+B2|B4 =PUISSANCE(B2;2)</t>
  </si>
  <si>
    <t>Quelle formule faut-il inscrire dans la cellule B4 pour calculer la somme des nombre 1, nombre 2 et nombre 3 ?</t>
  </si>
  <si>
    <t>C’est =B1+B2+B3 ou = SOMME(B1 :B3)</t>
  </si>
  <si>
    <t>B4 =SOMME(B1:B3)|B4 =SOMME(B1;B3)|B4 =SOMME(B1:B4)</t>
  </si>
  <si>
    <t>Quelle formule faut-il inscrire dans la cellule B4 pour calculer la moyenne des nombre 1, nombre 2 et nombre 3 ?</t>
  </si>
  <si>
    <t>C’est = MOYENNE(B1 :B3)</t>
  </si>
  <si>
    <t>B4 =MOYENNE(B1:B3)|B4 =AVERAGE(B1:B3)|B4 =MOYENNE(B1;B2;B3)</t>
  </si>
  <si>
    <t>Quelle formule faut-il inscrire dans la cellule B4 pour calculer la médiane des nombre 1, nombre 2 et nombre 3 ?</t>
  </si>
  <si>
    <t>C’est = MEDIANE(B1 :B3)</t>
  </si>
  <si>
    <t>B4 =MEDIANE(B1:B3)|B4 =MEDIANE(B1;B2)|B4 =MEDIANE(B1;B2;B3)</t>
  </si>
  <si>
    <t>Quelle formule faut-il inscrire dans la cellule B4 pour calculer l’étendue de la série composée des nombre 1, nombre 2 et nombre 3 ?</t>
  </si>
  <si>
    <t>C’est = MAX(B1 :B3) - MIN(B1 :B3)</t>
  </si>
  <si>
    <t>B4 =MAX(B1:B3)−MIN(B1:B3)|B4 =MAX(B1;B2;B3)+MIN(B1;B2;B3)|B4 =SOMME(B1:B3)−MIN(B1:B3)</t>
  </si>
  <si>
    <t>Quelle formule faut-il inscrire dans la cellule B4 pour calculer la différence entre le nombre 3 et le nombre 2 ?</t>
  </si>
  <si>
    <t>C’est = B3 – B2</t>
  </si>
  <si>
    <t>B4 =B3−B2|B4 =B2−B3|B4 =B3+B2</t>
  </si>
  <si>
    <t>Quelle formule faut-il inscrire dans la cellule B4 pour calculer le quotient du nombre 3 par le nombre 1 ?</t>
  </si>
  <si>
    <t>C’est = B3 / B1</t>
  </si>
  <si>
    <t>B4 =B3/B1|B4 =B3−B1|B4 =B1/B3</t>
  </si>
  <si>
    <t>Quelle formule faut-il inscrire dans la cellule B4 pour calculer le produit du nombre 2 et du nombre 1 ?</t>
  </si>
  <si>
    <t>C’est = B1 * B2</t>
  </si>
  <si>
    <t>B4 =B1∗B2|B4 =B1+B2|B4 =B1/B2</t>
  </si>
  <si>
    <t>Que faut-il rajouter dans le bloc pour se diriger vers l’Est ?</t>
  </si>
  <si>
    <t>S’orienter à 90</t>
  </si>
  <si>
    <t>S’orienter à 90|S’orienter à 45|S’orienter à -90</t>
  </si>
  <si>
    <t>Que faut-il rajouter dans le bloc pour se diriger vers le Nord ?</t>
  </si>
  <si>
    <t>S’orienter à 0</t>
  </si>
  <si>
    <t>S’orienter à 0|S’orienter à 90|S’orienter à 180</t>
  </si>
  <si>
    <t>Que faut-il rajouter dans le bloc pour se diriger vers le Sud ?</t>
  </si>
  <si>
    <t>S’orienter à 180</t>
  </si>
  <si>
    <t>S’orienter à 180|S’orienter à 0|S’orienter à -180</t>
  </si>
  <si>
    <t>Que faut-il rajouter dans le bloc pour se diriger vers l’Ouest ?</t>
  </si>
  <si>
    <t>S’orienter à - 90</t>
  </si>
  <si>
    <t>S’orienter à -90|S’orienter à 90|S’orienter à 180</t>
  </si>
  <si>
    <t>Compléter le script pour qu’il trace un triangle équilatéral de côté 80 pas.</t>
  </si>
  <si>
    <t>répéter 3 fois  avancer de 80 pas  tourner de 120 degrès</t>
  </si>
  <si>
    <t>3|répéter x fois, |80|avancer de x pas, |120|tourner de x degrès</t>
  </si>
  <si>
    <t>Compléter le script pour qu’il trace un carré de côté 100 pas.</t>
  </si>
  <si>
    <t>répéter 4 fois  avancer de 100 pas  tourner de 90 degrès</t>
  </si>
  <si>
    <t>4|répéter x fois, |100|avancer de x pas, |90|tourner de x degrès</t>
  </si>
  <si>
    <t>Compléter le script pour qu’il trace cet escalier dont la hauteur des marches est 50 pas et la profondeur 70 pas.</t>
  </si>
  <si>
    <t>répéter 3 fois  avancer de 50 pas  tourner de 90 degrès  avancer de 70 pas</t>
  </si>
  <si>
    <t>3|répéter x fois, |50|avancer de x pas, |90|tourner de x degrès, |70|avancer de x pas</t>
  </si>
  <si>
    <t>Compléter le script pour qu’il trace un pentagone régulier de côté de longueur 50 pas.</t>
  </si>
  <si>
    <t xml:space="preserve">répéter 5 fois  avancer de 50 pas  tourner de 72 degrès </t>
  </si>
  <si>
    <t>8|répéter x fois, |50|avancer de x pas, |72|tourner de x degrès</t>
  </si>
  <si>
    <t>(π x rayon x rayon x hauteur) / 3</t>
  </si>
  <si>
    <t xml:space="preserve">(π×10×10 ×30)/3  donc 1000π cm³ </t>
  </si>
  <si>
    <t xml:space="preserve">π x 4 x 4 x 2 soit 32  π cm³ </t>
  </si>
  <si>
    <t>Calculer 2⁴ ?</t>
  </si>
  <si>
    <t>A quels préfixes correspondent 10⁶ et 10^-6 ? Donner les notations correspondantes</t>
  </si>
  <si>
    <t>10⁶ correspond au méga noté M et 10-6 correspond au micro noté µ</t>
  </si>
  <si>
    <t>A quels préfixes correspondent 10⁹ et 10^-9 ? Donner les notations correspondantes</t>
  </si>
  <si>
    <t>10⁹ correspond au Giga noté G et 10^-9 correspond au nano noté n</t>
  </si>
  <si>
    <t>C’est l’écriture sous la forme d’un produit d’un nombre compris entre 1 (inclus) et 10 (exclu) et d’une puissance de 10. Cette écriture est unique : a×10ⁿ</t>
  </si>
  <si>
    <t>Parmi les réponses suivantes, quelle(s) est ou sont les décompositions en produit de facteurs premiers ? a. 2² x 5³ x 7 b. 5 x 17² x 23 x 31 c. 2³ x 11⁴ x 17 x 39</t>
  </si>
  <si>
    <t>Calculer (-2)⁴</t>
  </si>
  <si>
    <t>Écrire le résultat sous la forme d’une puissance 10⁷ /10^-3</t>
  </si>
  <si>
    <t>Écrire le résultat sous la forme d’une puissance (10^-5)⁴</t>
  </si>
  <si>
    <t>340 = 2² x 5 x 17 2 754 = 2 x 3⁴ x 17 340/2 754 = 2 x 5 / 3⁴ 340/2 754 = 10/81</t>
  </si>
  <si>
    <t>Étiquettes de lignes</t>
  </si>
  <si>
    <t>Nombre de n°</t>
  </si>
  <si>
    <t>Total général</t>
  </si>
  <si>
    <t>Un QCM avec soit 3/4/5 reponse posssible avec une de correct</t>
  </si>
  <si>
    <t xml:space="preserve">Reponse qui doit contenir tout les int ou float indiquer dans la reponse  </t>
  </si>
  <si>
    <t>Reponse standars contenant plusieurs type de réponse attendu</t>
  </si>
  <si>
    <t>7|lapins|13|poules</t>
  </si>
  <si>
    <t>(1/10)</t>
  </si>
  <si>
    <t>2/11</t>
  </si>
  <si>
    <t>3/11</t>
  </si>
  <si>
    <t>13/8</t>
  </si>
  <si>
    <t>4/5</t>
  </si>
  <si>
    <t>12/20|3 /5</t>
  </si>
  <si>
    <t>7/3</t>
  </si>
  <si>
    <t>3/2</t>
  </si>
  <si>
    <t>8/9</t>
  </si>
  <si>
    <t>1/4</t>
  </si>
  <si>
    <t>05/08</t>
  </si>
  <si>
    <t xml:space="preserve">Reponse avec 2 choix int ou float en liste deroulant </t>
  </si>
  <si>
    <t xml:space="preserve">Reponse avec 3 choix int ou float en liste deroulant </t>
  </si>
  <si>
    <t xml:space="preserve">Reponse avec 4 choix int ou float en liste deroulant </t>
  </si>
  <si>
    <t>Vrai ou Faux</t>
  </si>
  <si>
    <t>Vrai ou Faux ave reponse standard</t>
  </si>
  <si>
    <t>Vrai ou Faux avec RLD1</t>
  </si>
  <si>
    <t>Vrai ou Faux avec RLD2</t>
  </si>
  <si>
    <t>Singnification</t>
  </si>
  <si>
    <t>Format</t>
  </si>
  <si>
    <t>BonneRep|MauvaiseRep|MauvaiseRep|… Selon le nombre de reponse du QCM</t>
  </si>
  <si>
    <t>Reponse1|Reponse2|Reponse3|Reponse4|Reponse5</t>
  </si>
  <si>
    <t>ReponsePossible1|ReponsePossible2|ReponsePossible3</t>
  </si>
  <si>
    <t>Reponse1|texte1|Reponse2|texte2</t>
  </si>
  <si>
    <t>Reponse1|texte1|Reponse2|texte2|Reponse3|texte3</t>
  </si>
  <si>
    <t>Reponse1|texte1|Reponse2|texte2|Reponse3|texte3|Reponse4|texte4</t>
  </si>
  <si>
    <t>soit V ou F</t>
  </si>
  <si>
    <t>Soit V|reponse ou F</t>
  </si>
  <si>
    <t>Soit V|terxte1|reponse1 ou F</t>
  </si>
  <si>
    <t>Soit V|terxte1|reponse1|terxte2|reponse2 ou 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</si>
</sst>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scheme val="minor"/>
    </font>
    <font>
      <sz val="11"/>
      <color theme="1"/>
      <name val="Calibri"/>
      <family val="2"/>
      <scheme val="minor"/>
    </font>
    <font>
      <sz val="11"/>
      <color theme="1"/>
      <name val="Calibri"/>
      <family val="2"/>
      <scheme val="minor"/>
    </font>
    <font>
      <sz val="11"/>
      <color rgb="FF1F1F1F"/>
      <name val="Calibri"/>
      <family val="2"/>
      <scheme val="minor"/>
    </font>
    <font>
      <sz val="11"/>
      <color rgb="FF000000"/>
      <name val="Calibri"/>
      <family val="2"/>
      <scheme val="minor"/>
    </font>
    <font>
      <sz val="9"/>
      <color rgb="FF000000"/>
      <name val="Calibri"/>
      <family val="2"/>
      <scheme val="minor"/>
    </font>
    <font>
      <sz val="9"/>
      <color rgb="FF1F1F1F"/>
      <name val="Calibri"/>
      <family val="2"/>
      <scheme val="minor"/>
    </font>
    <font>
      <sz val="11"/>
      <color rgb="FFFF0000"/>
      <name val="Calibri"/>
      <family val="2"/>
      <scheme val="minor"/>
    </font>
  </fonts>
  <fills count="4">
    <fill>
      <patternFill patternType="none"/>
    </fill>
    <fill>
      <patternFill patternType="gray125"/>
    </fill>
    <fill>
      <patternFill patternType="solid">
        <fgColor rgb="FFFFFFFF"/>
        <bgColor rgb="FFFFFFFF"/>
      </patternFill>
    </fill>
    <fill>
      <patternFill patternType="solid">
        <fgColor rgb="FFFFFF00"/>
        <bgColor indexed="64"/>
      </patternFill>
    </fill>
  </fills>
  <borders count="1">
    <border>
      <left/>
      <right/>
      <top/>
      <bottom/>
      <diagonal/>
    </border>
  </borders>
  <cellStyleXfs count="1">
    <xf numFmtId="0" fontId="0" fillId="0" borderId="0"/>
  </cellStyleXfs>
  <cellXfs count="16">
    <xf numFmtId="0" fontId="0" fillId="0" borderId="0" xfId="0"/>
    <xf numFmtId="0" fontId="2" fillId="0" borderId="0" xfId="0" applyFont="1"/>
    <xf numFmtId="0" fontId="3" fillId="2" borderId="0" xfId="0" applyFont="1" applyFill="1"/>
    <xf numFmtId="0" fontId="6" fillId="2" borderId="0" xfId="0" applyFont="1" applyFill="1"/>
    <xf numFmtId="0" fontId="0" fillId="0" borderId="0" xfId="0" pivotButton="1"/>
    <xf numFmtId="0" fontId="0" fillId="0" borderId="0" xfId="0" applyAlignment="1">
      <alignment horizontal="left"/>
    </xf>
    <xf numFmtId="49" fontId="2" fillId="0" borderId="0" xfId="0" applyNumberFormat="1" applyFont="1"/>
    <xf numFmtId="49" fontId="2" fillId="0" borderId="0" xfId="0" applyNumberFormat="1" applyFont="1" applyAlignment="1">
      <alignment wrapText="1"/>
    </xf>
    <xf numFmtId="49" fontId="3" fillId="2" borderId="0" xfId="0" applyNumberFormat="1" applyFont="1" applyFill="1"/>
    <xf numFmtId="49" fontId="4" fillId="0" borderId="0" xfId="0" applyNumberFormat="1" applyFont="1"/>
    <xf numFmtId="49" fontId="5" fillId="2" borderId="0" xfId="0" applyNumberFormat="1" applyFont="1" applyFill="1"/>
    <xf numFmtId="49" fontId="2" fillId="0" borderId="0" xfId="0" quotePrefix="1" applyNumberFormat="1" applyFont="1"/>
    <xf numFmtId="49" fontId="4" fillId="2" borderId="0" xfId="0" applyNumberFormat="1" applyFont="1" applyFill="1" applyAlignment="1">
      <alignment horizontal="left"/>
    </xf>
    <xf numFmtId="0" fontId="7" fillId="3" borderId="0" xfId="0" applyFont="1" applyFill="1" applyAlignment="1">
      <alignment horizontal="left"/>
    </xf>
    <xf numFmtId="0" fontId="0" fillId="3" borderId="0" xfId="0" applyFill="1" applyAlignment="1">
      <alignment horizontal="left"/>
    </xf>
    <xf numFmtId="49" fontId="1" fillId="0" borderId="0" xfId="0" applyNumberFormat="1" applyFont="1"/>
  </cellXfs>
  <cellStyles count="1">
    <cellStyle name="Normal" xfId="0" builtinId="0"/>
  </cellStyles>
  <dxfs count="15">
    <dxf>
      <font>
        <b val="0"/>
        <i val="0"/>
        <strike val="0"/>
        <condense val="0"/>
        <extend val="0"/>
        <outline val="0"/>
        <shadow val="0"/>
        <u val="none"/>
        <vertAlign val="baseline"/>
        <sz val="11"/>
        <color theme="1"/>
        <name val="Calibri"/>
        <family val="2"/>
        <scheme val="minor"/>
      </font>
      <numFmt numFmtId="30" formatCode="@"/>
    </dxf>
    <dxf>
      <font>
        <b val="0"/>
        <i val="0"/>
        <strike val="0"/>
        <condense val="0"/>
        <extend val="0"/>
        <outline val="0"/>
        <shadow val="0"/>
        <u val="none"/>
        <vertAlign val="baseline"/>
        <sz val="11"/>
        <color rgb="FF1F1F1F"/>
        <name val="Calibri"/>
        <family val="2"/>
        <scheme val="minor"/>
      </font>
      <numFmt numFmtId="30" formatCode="@"/>
      <fill>
        <patternFill patternType="solid">
          <fgColor rgb="FFFFFFFF"/>
          <bgColor rgb="FFFFFFFF"/>
        </patternFill>
      </fill>
    </dxf>
    <dxf>
      <font>
        <b val="0"/>
        <i val="0"/>
        <strike val="0"/>
        <condense val="0"/>
        <extend val="0"/>
        <outline val="0"/>
        <shadow val="0"/>
        <u val="none"/>
        <vertAlign val="baseline"/>
        <sz val="11"/>
        <color theme="1"/>
        <name val="Calibri"/>
        <family val="2"/>
        <scheme val="minor"/>
      </font>
      <numFmt numFmtId="30" formatCode="@"/>
    </dxf>
    <dxf>
      <font>
        <b val="0"/>
        <i val="0"/>
        <strike val="0"/>
        <condense val="0"/>
        <extend val="0"/>
        <outline val="0"/>
        <shadow val="0"/>
        <u val="none"/>
        <vertAlign val="baseline"/>
        <sz val="11"/>
        <color theme="1"/>
        <name val="Calibri"/>
        <family val="2"/>
        <scheme val="minor"/>
      </font>
      <numFmt numFmtId="30" formatCode="@"/>
    </dxf>
    <dxf>
      <font>
        <b val="0"/>
        <i val="0"/>
        <strike val="0"/>
        <condense val="0"/>
        <extend val="0"/>
        <outline val="0"/>
        <shadow val="0"/>
        <u val="none"/>
        <vertAlign val="baseline"/>
        <sz val="11"/>
        <color theme="1"/>
        <name val="Calibri"/>
        <family val="2"/>
        <scheme val="minor"/>
      </font>
      <numFmt numFmtId="30" formatCode="@"/>
    </dxf>
    <dxf>
      <font>
        <b val="0"/>
        <i val="0"/>
        <strike val="0"/>
        <condense val="0"/>
        <extend val="0"/>
        <outline val="0"/>
        <shadow val="0"/>
        <u val="none"/>
        <vertAlign val="baseline"/>
        <sz val="11"/>
        <color theme="1"/>
        <name val="Calibri"/>
        <family val="2"/>
        <scheme val="minor"/>
      </font>
      <numFmt numFmtId="30" formatCode="@"/>
    </dxf>
    <dxf>
      <font>
        <b val="0"/>
        <i val="0"/>
        <strike val="0"/>
        <condense val="0"/>
        <extend val="0"/>
        <outline val="0"/>
        <shadow val="0"/>
        <u val="none"/>
        <vertAlign val="baseline"/>
        <sz val="11"/>
        <color theme="1"/>
        <name val="Calibri"/>
        <family val="2"/>
        <scheme val="minor"/>
      </font>
      <numFmt numFmtId="30" formatCode="@"/>
    </dxf>
    <dxf>
      <font>
        <b val="0"/>
        <i val="0"/>
        <strike val="0"/>
        <condense val="0"/>
        <extend val="0"/>
        <outline val="0"/>
        <shadow val="0"/>
        <u val="none"/>
        <vertAlign val="baseline"/>
        <sz val="11"/>
        <color theme="1"/>
        <name val="Calibri"/>
        <family val="2"/>
        <scheme val="minor"/>
      </font>
      <numFmt numFmtId="30" formatCode="@"/>
    </dxf>
    <dxf>
      <font>
        <b val="0"/>
        <i val="0"/>
        <strike val="0"/>
        <condense val="0"/>
        <extend val="0"/>
        <outline val="0"/>
        <shadow val="0"/>
        <u val="none"/>
        <vertAlign val="baseline"/>
        <sz val="11"/>
        <color theme="1"/>
        <name val="Calibri"/>
        <family val="2"/>
        <scheme val="minor"/>
      </font>
      <numFmt numFmtId="30" formatCode="@"/>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2.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VID PERON" refreshedDate="45590.739920138891" createdVersion="8" refreshedVersion="8" minRefreshableVersion="3" recordCount="544" xr:uid="{510C3257-7C84-43EE-9B05-2B90AB1D696B}">
  <cacheSource type="worksheet">
    <worksheetSource ref="A1:G545" sheet="Sheet1"/>
  </cacheSource>
  <cacheFields count="7">
    <cacheField name="n°" numFmtId="0">
      <sharedItems containsSemiMixedTypes="0" containsString="0" containsNumber="1" containsInteger="1" minValue="1" maxValue="552"/>
    </cacheField>
    <cacheField name="Question " numFmtId="0">
      <sharedItems longText="1"/>
    </cacheField>
    <cacheField name="Type de Question" numFmtId="0">
      <sharedItems count="12">
        <s v="Proportionnalité"/>
        <s v="Géométrie"/>
        <s v="Géométrie dans l’espace"/>
        <s v="Transformation"/>
        <s v="Communiquer"/>
        <s v="Calcul littéral"/>
        <s v="Logique"/>
        <s v="Calculs"/>
        <s v="Stats ou probas"/>
        <s v="Nombres"/>
        <s v="Fonctions"/>
        <s v="Informatique"/>
      </sharedItems>
    </cacheField>
    <cacheField name="Correction" numFmtId="0">
      <sharedItems containsDate="1" containsMixedTypes="1" minDate="1900-01-01T10:23:12" maxDate="1900-01-08T18:10:04" longText="1"/>
    </cacheField>
    <cacheField name="Type_de _Réponse" numFmtId="0">
      <sharedItems/>
    </cacheField>
    <cacheField name="Reponse  " numFmtId="0">
      <sharedItems containsDate="1" containsBlank="1" containsMixedTypes="1" minDate="1900-01-01T10:23:12" maxDate="1900-01-04T10:41:04" longText="1"/>
    </cacheField>
    <cacheField name="Image "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VID PERON" refreshedDate="45590.750055092591" createdVersion="8" refreshedVersion="8" minRefreshableVersion="3" recordCount="544" xr:uid="{33D50F6F-DEE3-4C33-BEC9-A6D27BA8D2D6}">
  <cacheSource type="worksheet">
    <worksheetSource name="Tableau1"/>
  </cacheSource>
  <cacheFields count="7">
    <cacheField name="n°" numFmtId="49">
      <sharedItems containsSemiMixedTypes="0" containsString="0" containsNumber="1" containsInteger="1" minValue="1" maxValue="552"/>
    </cacheField>
    <cacheField name="Question " numFmtId="49">
      <sharedItems longText="1"/>
    </cacheField>
    <cacheField name="Type de Question" numFmtId="49">
      <sharedItems/>
    </cacheField>
    <cacheField name="Correction" numFmtId="49">
      <sharedItems containsMixedTypes="1" containsNumber="1" minValue="-900" maxValue="45599" longText="1"/>
    </cacheField>
    <cacheField name="Type_de _Réponse" numFmtId="49">
      <sharedItems count="11">
        <s v="RDS"/>
        <s v="RLD2"/>
        <s v="QCM"/>
        <s v="QCM "/>
        <s v="VF"/>
        <s v="RLD3"/>
        <s v="VFRDS"/>
        <s v="RCV"/>
        <s v="VFRLD2"/>
        <s v="VFRLD1"/>
        <s v="RLD4"/>
      </sharedItems>
    </cacheField>
    <cacheField name="Reponse  " numFmtId="49">
      <sharedItems containsBlank="1" containsMixedTypes="1" containsNumber="1" minValue="-900" maxValue="1132254" longText="1"/>
    </cacheField>
    <cacheField name="Image " numFmtId="49">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44">
  <r>
    <n v="1"/>
    <s v="Convertir 0,3 h en minutes"/>
    <x v="0"/>
    <s v="0,3 h = 0,3 x 60 min = 18 min"/>
    <s v="RDS"/>
    <s v="18min"/>
    <m/>
  </r>
  <r>
    <n v="2"/>
    <s v="À quelle vitesse moyenne roule-t-on si on parcourt 120 km en 1h30 ?"/>
    <x v="0"/>
    <s v="120 / 3 = 40 puis 40 x 2 = 80 km On roule à 80 km/h"/>
    <s v="RDS"/>
    <s v="80|80km/h"/>
    <m/>
  </r>
  <r>
    <n v="3"/>
    <s v="Quel pourcentage représente 120 élèves sur 300 ?"/>
    <x v="0"/>
    <s v="120/300 = 40/100. Ça représente 40 % "/>
    <s v="RDS"/>
    <s v="40|40%"/>
    <m/>
  </r>
  <r>
    <n v="4"/>
    <s v="Convertir 4,2 h en heures et minutes"/>
    <x v="0"/>
    <s v="4,2 h = 4h + 0,2 h = 4h + 0,2 x 60 min. Donc 4,2 h = 4h 12 min"/>
    <s v="RDS"/>
    <s v="4,2h|4h12min"/>
    <m/>
  </r>
  <r>
    <n v="5"/>
    <s v="Calculer 20 % de 150 € "/>
    <x v="0"/>
    <s v="20% x 150 = 0,2 x 150 = 30 € "/>
    <s v="RDS"/>
    <s v="30|30€"/>
    <m/>
  </r>
  <r>
    <n v="6"/>
    <s v="Un cycliste parcourt 4 km en 12 min. À quelle vitesse moyenne roule-t-il ? "/>
    <x v="0"/>
    <s v=" 12 min x 5 = 60 min donc 4 km x 5 = 20 km. Le cycliste roule à 20 km/h en moyenne. "/>
    <s v="RDS"/>
    <s v="20km/h"/>
    <m/>
  </r>
  <r>
    <n v="7"/>
    <s v="Quel pourcentage représente 3 élèves sur 4 ? "/>
    <x v="0"/>
    <s v="3 élèves sur 4, c’est aussi 3/4 soit 75/100. Ça représente 75 % "/>
    <s v="RDS"/>
    <s v="75|75%"/>
    <m/>
  </r>
  <r>
    <n v="8"/>
    <s v="Convertir 5h06 min en heures."/>
    <x v="0"/>
    <s v="5h + 6/60 h = 5,1 h "/>
    <s v="RDS"/>
    <s v="5,1h"/>
    <m/>
  </r>
  <r>
    <n v="9"/>
    <s v="Convertir 1,6 h en minutes "/>
    <x v="0"/>
    <s v="1,6 h = 1,6 x 60 min = 96 min"/>
    <s v="RDS"/>
    <s v="96min"/>
    <m/>
  </r>
  <r>
    <n v="10"/>
    <s v="À quelle vitesse moyenne (en km/h) roule-t-on si on parcourt 100 m en 15 sec ? "/>
    <x v="0"/>
    <s v="3 600 / 15 = 240 puis 240 x 100 = 24 000 m On roule à 24 km/h"/>
    <s v="RDS"/>
    <s v="24|24km/h"/>
    <m/>
  </r>
  <r>
    <n v="11"/>
    <s v="Quel est le coefficient multiplicateur dans une augmentation de 20 % ? "/>
    <x v="0"/>
    <s v="100 % + 20 % = 120 % Le coefficient est 1,2"/>
    <s v="RDS"/>
    <n v="1.2"/>
    <m/>
  </r>
  <r>
    <n v="12"/>
    <s v="Quel est le coefficient multiplicateur dans une réduction de 60 % ?"/>
    <x v="0"/>
    <s v="100 % - 60 % = 40 % Le coefficient est 0,4"/>
    <s v="RDS"/>
    <n v="0.4"/>
    <m/>
  </r>
  <r>
    <n v="13"/>
    <s v="Quel est le coefficient multiplicateur dans une augmentation de 65 % ?"/>
    <x v="0"/>
    <s v="100 % + 65 % = 165 % Le coefficient est 1,65"/>
    <s v="RDS"/>
    <n v="1.65"/>
    <m/>
  </r>
  <r>
    <n v="14"/>
    <s v="Quel est le coefficient multiplicateur dans une réduction de 35 % ?"/>
    <x v="0"/>
    <s v="100 % - 35 % = 65 % Le coefficient est 0,65"/>
    <s v="RDS"/>
    <n v="0.65"/>
    <m/>
  </r>
  <r>
    <n v="15"/>
    <s v="Timothée décide de partager ses cartes pokemon à Elimane et César selon le ratio 6 : 2. Timothée a 40 cartes, combien doit-il en donner à Elimane et César ?"/>
    <x v="0"/>
    <s v="Le ratio 6 : 2 revient au ratio 3 : 1, donc Elimane reçoit les 3/4 des cartes et César le quart restant. Elimane reçoit 30 cartes et César 10 cartes."/>
    <s v="RLD2"/>
    <s v="30| cartes pour Elimane|10| cartes pour César"/>
    <m/>
  </r>
  <r>
    <n v="16"/>
    <s v="Timothée décide de partager ses billes à Elimane et César selon le ratio 15 : 3. Timothée a 120 billes, combien doit-il en donner à Elimane et César ?"/>
    <x v="0"/>
    <s v="Le ratio 15 : 3 revient au ratio 5 : 1, donc Elimane reçoit les 5/6 des cartes et César le sixième restant. Elimane reçoit 100 billes et César 20 billes"/>
    <s v="RLD2"/>
    <s v="100| billes pour Elimane|20| billes pour César"/>
    <m/>
  </r>
  <r>
    <n v="17"/>
    <s v="Que signifie : 2 angles sont complémentaires ?"/>
    <x v="1"/>
    <s v="La somme de leur mesure est égale à 90°."/>
    <s v="RDS"/>
    <s v="90°"/>
    <m/>
  </r>
  <r>
    <n v="18"/>
    <s v="Que signifie : 2 angles sont supplémentaires ?"/>
    <x v="1"/>
    <s v="La somme de leur mesure est égale à 180°."/>
    <s v="RDS"/>
    <s v="180°"/>
    <m/>
  </r>
  <r>
    <n v="19"/>
    <s v="Quelle est la définition d’un parallélogramme ?"/>
    <x v="1"/>
    <s v="C’est un quadrilatère qui a ses côtés opposés 2 à 2 parallèles"/>
    <s v="QCM"/>
    <s v="C’est un quadrilatère qui a ses côtés opposés 2 à 2 parallèles|C’est un quadrilatère qui a ses 4 côtés de même longueur|C’est un quadrilatère qui a 4 angles droits.|C’est un quadrilatère qui a ses 4 côtés de même longueur et 4 angles droits."/>
    <m/>
  </r>
  <r>
    <n v="20"/>
    <s v="Quelle est la définition d’un losange ?"/>
    <x v="1"/>
    <s v="C’est un quadrilatère qui a ses 4 côtés de même longueur "/>
    <s v="QCM"/>
    <s v="C’est un quadrilatère qui a ses 4 côtés de même longueur|C’est un quadrilatère qui a 4 angles droits.|C’est un quadrilatère qui a ses 4 côtés de même longueur et 4 angles droits.|C’est un quadrilatère qui a ses côtés opposés 2 à 2 parallèles"/>
    <m/>
  </r>
  <r>
    <n v="21"/>
    <s v="Quelle est la définition d’un rectangle ?"/>
    <x v="1"/>
    <s v="C’est un quadrilatère qui a 4 angles droits."/>
    <s v="QCM"/>
    <s v="C’est un quadrilatère qui a 4 angles droits.|C’est un quadrilatère qui a ses 4 côtés de même longueur et 4 angles droits.|C’est un quadrilatère qui a ses côtés opposés 2 à 2 parallèles|C’est un quadrilatère qui a ses 4 côtés de même longueur"/>
    <m/>
  </r>
  <r>
    <n v="22"/>
    <s v="Quelle est la définition d’un carré ?"/>
    <x v="1"/>
    <s v="C’est un quadrilatère qui a ses 4 côtés de même longueur et 4 angles droits."/>
    <s v="QCM"/>
    <s v="C’est un quadrilatère qui a ses 4 côtés de même longueur et 4 angles droits.|C’est un quadrilatère qui a ses côtés opposés 2 à 2 parallèles|C’est un quadrilatère qui a ses 4 côtés de même longueur|C’est un quadrilatère qui a 4 angles droits."/>
    <m/>
  </r>
  <r>
    <n v="23"/>
    <s v="Combien vaut la somme des mesures des 3 angles d’un triangle ?"/>
    <x v="1"/>
    <s v="ll vaut 180 °."/>
    <s v="RDS"/>
    <s v="180°"/>
    <m/>
  </r>
  <r>
    <n v="24"/>
    <s v="Citer l’inégalité triangulaire : quand est-ce qu’un triangle est constructible ?"/>
    <x v="1"/>
    <s v="La somme des longueurs des 2 plus petits côtés d’un triangle doit être supérieure à la longueur du plus grand côté."/>
    <s v="QCM"/>
    <s v=" La somme des longueurs des 2 plus petits côtés d’un triangle doit être supérieure à la longueur du plus grand côté.|La somme des longueurs des 2 côtés les plus longs doit être égale à la longueur du plus petit côté.|La somme des longueurs des 2 côtés les plus petits doit être inférieure à la longueur du plus grand côté.|La différence entre les longueurs des 2 plus grands côtés doit être inférieure à la longueur du plus petit côté."/>
    <m/>
  </r>
  <r>
    <n v="25"/>
    <s v="Quelle est la condition pour pouvoir appliquer le théorème de Pythagore ? "/>
    <x v="1"/>
    <s v="Il faut se situer dans un triangle rectangle."/>
    <s v="QCM"/>
    <s v="Il faut se situer dans un triangle rectangle.|Il faut se situer dans un triangle isocèle.|Il faut se situer dans un triangle équilatéral."/>
    <m/>
  </r>
  <r>
    <n v="26"/>
    <s v="ABC est un triangle rectangle en C. Quelle est l’égalité de Pythagore ?"/>
    <x v="1"/>
    <s v="AB² = AC² + BC²"/>
    <s v="QCM "/>
    <s v="AB² = AC² + BC²|AB² = AC² - BC²|AB² = BC² - AC²"/>
    <m/>
  </r>
  <r>
    <n v="27"/>
    <s v="Quelle est la mesure de chaque angle dans un triangle équilatéral ?"/>
    <x v="1"/>
    <s v="Elle vaut 60 °."/>
    <s v="RDS"/>
    <s v="60°"/>
    <m/>
  </r>
  <r>
    <n v="28"/>
    <s v="ABC est un triangle rectangle en C. Quelle est la formule permettant de calculer le cosinus de l’angle  ABC ?"/>
    <x v="1"/>
    <s v="cos (ABC) = BC / BA"/>
    <s v="QCM"/>
    <s v="cos (ABC) = BC / BA|cos (ABC) = AC / BC|cos (ABC) = BA / BC"/>
    <m/>
  </r>
  <r>
    <n v="29"/>
    <s v="ABC est un triangle rectangle en C. Quelle est la formule permettant de calculer le sinus de l’angle ABC?"/>
    <x v="1"/>
    <s v="sin (ABC) = AC / BA"/>
    <s v="QCM"/>
    <s v="sin (ABC) = AC / BA|sin (ABC) = BC / BA|sin (ABC) = BA / AC"/>
    <m/>
  </r>
  <r>
    <n v="30"/>
    <s v="ABC est un triangle rectangle en C. Quelle est la formule permettant de calculer la tangente de l’angle ABC ?"/>
    <x v="1"/>
    <s v="tan (ABC) = AC / BC"/>
    <s v="QCM"/>
    <s v="tan (ABC) = AC / BC|tan (ABC) = BC / AC|tan (ABC) = BA / AC"/>
    <m/>
  </r>
  <r>
    <n v="31"/>
    <s v="Quelle propriété possède 2 angles opposés par le sommet ?"/>
    <x v="1"/>
    <s v="Ils sont de même mesure."/>
    <s v="QCM"/>
    <s v="Ils sont de même mesure.|Ils sont complémentaires.|Ils sont adjacents."/>
    <m/>
  </r>
  <r>
    <n v="32"/>
    <s v="Comment caractériser 2 angles alternes internes formés par 2 droites (d) et (d’) et la sécante (d’’) ?"/>
    <x v="1"/>
    <s v="Les 2 angles sont entre (d) et (d’), ils sont de part et d’autre de la sécante ()′′) et ils n’ont pas le même sommet"/>
    <s v="QCM"/>
    <s v="Les 2 angles sont entre (d) et (d’), ils sont de part et d’autre de la sécante (d’’) et ils n’ont pas le même sommet.|Les 2 angles sont sur le même côté de la sécante et ont le même sommet.|L’un des 2 angles est entre (d) et (d’) et l’autre est à l’extérieur, ils sont du même côté de la sécante (d’’) et ils n’ont pas le même sommet."/>
    <m/>
  </r>
  <r>
    <n v="33"/>
    <s v="Comment caractériser 2 angles correspondants formés par 2 droites (d) et (d’) et la sécante (d’’) ?"/>
    <x v="1"/>
    <s v="L’un des 2 angles est entre (d) et (d’) et  l’autre est à l’extérieur, ils sont du même  côté de la sécante (d′′) et ils n’ont pas le même sommet."/>
    <s v="QCM"/>
    <s v="L’un des 2 angles est entre (d) et (d’) et l’autre est à l’extérieur, ils sont du même côté de la sécante (d’’) et ils n’ont pas le même sommet.|Les 2 angles sont entre (d) et (d’), ils sont de part et d’autre de la sécante (d’’) et ils n’ont pas le même sommet.|Les 2 angles sont sur le même sommet et même côté de la sécante."/>
    <m/>
  </r>
  <r>
    <n v="34"/>
    <s v="Les angles alternes internes ou correspondants sont-ils toujours de même mesure ? "/>
    <x v="1"/>
    <s v="Non, il faut qu’ils soient formés par des droites parallèles."/>
    <s v="VF"/>
    <s v="F"/>
    <m/>
  </r>
  <r>
    <n v="35"/>
    <s v="Quelle est la définition de la médiatrice d’un segment ?"/>
    <x v="1"/>
    <s v="C’est une droite qui passe par le milieu d’un segment perpendiculairement."/>
    <s v="QCM"/>
    <s v="C’est une droite qui passe par le milieu d’un segment perpendiculairement.|C’est une droite qui partage un angle en 2 angles adjacents de même mesure.|C’est une droite qui passe par un sommet du triangle et qui passe par le milieu de son côté opposé."/>
    <m/>
  </r>
  <r>
    <n v="36"/>
    <s v="Quelle est la définition de la bissectrice d’un angle ?"/>
    <x v="1"/>
    <s v="C’est une droite qui partage un angle en 2 angles adjacents de même mesure."/>
    <s v="QCM"/>
    <s v="C’est une droite qui partage un angle en 2 angles adjacents de même mesure.|C’est une droite qui passe par un sommet du triangle et qui passe perpendiculairement au côté opposé.|C’est une droite qui passe par le milieu d’un segment perpendiculairement."/>
    <m/>
  </r>
  <r>
    <n v="37"/>
    <s v="Quelle est la définition de la hauteur d’un triangle ?"/>
    <x v="1"/>
    <s v="C’est une droite qui passe par un sommet du triangle et qui passe perpendiculairement au côté opposé."/>
    <s v="QCM"/>
    <s v="C’est une droite qui passe par un sommet du triangle et qui passe perpendiculairement au côté opposé.|C’est une droite qui partage un angle en 2 angles adjacents de même mesure.|C’est une droite qui passe par le milieu d’un segment perpendiculairement."/>
    <m/>
  </r>
  <r>
    <n v="38"/>
    <s v="Quelle est la définition de la médiane d’un triangle ?"/>
    <x v="1"/>
    <s v="C’est une droite qui passe par un sommet du triangle et qui passe par le milieu de son côté opposé."/>
    <s v="QCM"/>
    <s v="C’est une droite qui passe par un sommet du triangle et qui passe par le milieu de son côté opposé.|C’est une droite qui passe par un sommet du triangle et qui passe perpendiculairement au côté opposé.|C’est une droite qui passe par le milieu d’un segment perpendiculairement."/>
    <m/>
  </r>
  <r>
    <n v="39"/>
    <s v="Quelle est la définition précise d’un triangle isocèle ?"/>
    <x v="1"/>
    <s v="C’est un polygone à 3 sommets (ou 3 côtés) qui a 2 côtés de même longueur."/>
    <s v="QCM"/>
    <s v="C’est un polygone à 3 sommets (ou 3 côtés) qui a 2 côtés de même longueur.|C’est un polygone à 3 côtés de même longueur.|C’est un polygone à 3 sommets dont tous les angles sont égaux."/>
    <m/>
  </r>
  <r>
    <n v="40"/>
    <s v="Quelle est la définition précise d’un triangle équilatéral ?"/>
    <x v="1"/>
    <s v="C’est un polygone à 3 sommets (ou 3 côtés) qui a 3 côtés de même longueur."/>
    <s v="QCM"/>
    <s v="C’est un polygone à 3 sommets (ou 3 côtés) qui a 3 côtés de même longueur.|C’est un polygone avec 2 côtés égaux et un angle droit.|C’est un polygone avec un seul axe de symétrie."/>
    <m/>
  </r>
  <r>
    <n v="41"/>
    <s v="Citer les propriétés des triangles isocèles (axe(s) et centre de symétrie, côtés, angles)"/>
    <x v="1"/>
    <s v="1 axe de symétrie : la médiatrice de sa base 0 centre de symétrie 2 côtés de même longueur 2 angles à sa base de même mesure"/>
    <s v="QCM"/>
    <s v="1 axe de symétrie : la médiatrice de sa base 0 centre de symétrie 2 côtés de même longueur 2 angles à sa base de même mesure.|2 axes de symétrie : les médiatrices des côtés 1 centre de symétrie 2 côtés de même longueur 2 angles différents.|0 axe de symétrie 1 centre de symétrie 3 côtés de même longueur 3 angles de même mesure.|"/>
    <m/>
  </r>
  <r>
    <n v="42"/>
    <s v="Citer les propriétés des triangles équilatéraux (axe(s) et centre de symétrie, côtés, angles)"/>
    <x v="1"/>
    <s v="3 axes de symétrie : les médiatrices de ses côtés 0 centre de symétrie 3 côtés de même longueur 3 angles de même mesure"/>
    <s v="QCM"/>
    <s v="3 axes de symétrie : les médiatrices de ses côtés 0 centre de symétrie 3 côtés de même longueur 3 angles de même mesure.|1 axe de symétrie 0 centre de symétrie 2 côtés de même longueur 2 angles de même mesure.|2 axes de symétrie : les diagonales 1 centre de symétrie 3 côtés de même longueur 3 angles différents."/>
    <m/>
  </r>
  <r>
    <n v="43"/>
    <s v="Citer les propriétés des rectangles (axe(s) et centre de symétrie, côtés, angles, diagonales)"/>
    <x v="1"/>
    <s v="2 axes de symétrie : la médiatrice des côtés 1 centre de symétrie Côtés opposés 2 à 2 parallèles et de même longueur. 4 angles droits Diagonales qui se coupent en leur milieu et qui sont de même longueur"/>
    <s v="QCM"/>
    <s v="2 axes de symétrie : la médiatrice des côtés 1 centre de symétrie Côtés opposés 2 à 2 parallèles et de même longueur 4 angles droits Diagonales qui se coupent en leur milieu et qui sont de même longueur.|1 axe de symétrie 0 centre de symétrie Côtés parallèles, mais de longueur différente 4 angles droits Diagonales qui se coupent en leur milieu, mais qui sont de longueurs différentes.|0 axe de symétrie 1 centre de symétrie Côtés opposés égaux 4 angles droits Diagonales perpendiculaires qui ne se coupent pas en leur milieu."/>
    <m/>
  </r>
  <r>
    <n v="44"/>
    <s v="Citer les propriétés d’un triangle rectangle (axe(s) et centre de symétrie, côtés, angles)"/>
    <x v="1"/>
    <s v="0 axe de symétrie 0 centre de symétrie 0 côté de même longueur 1 angle droit"/>
    <s v="QCM"/>
    <s v="0 axe de symétrie 0 centre de symétrie 0 côté de même longueur 1 angle droit.|1 axe de symétrie 0 centre de symétrie 2 côtés de même longueur 1 angle droit.|2 axes de symétrie 1 centre de symétrie 3 côtés de même longueur 3 angles droits."/>
    <m/>
  </r>
  <r>
    <n v="45"/>
    <s v="Citer les propriétés des losanges (axe(s) et centre de symétrie, côtés, angles, diagonales)"/>
    <x v="1"/>
    <s v="2 axes de symétrie : les diagonales 1 centre de symétrie Côtés opposés 2 à 2 parallèles. 4 côtés de même longueur Diagonales qui se coupent en leur milieu et qui sont perpendiculaires"/>
    <s v="QCM"/>
    <s v="2 axes de symétrie : les diagonales 1 centre de symétrie Côtés opposés 2 à 2 parallèles 4 côtés de même longueur Diagonales qui se coupent en leur milieu et qui sont perpendiculaires.|2 axes de symétrie : les médiatrices des côtés 0 centre de symétrie Côtés opposés de longueurs différentes Diagonales perpendiculaires qui ne se coupent pas en leur milieu.|1 axe de symétrie 1 centre de symétrie Côtés opposés parallèles, mais de longueurs différentes 4 côtés de même longueur Diagonales qui ne sont pas perpendiculaires."/>
    <m/>
  </r>
  <r>
    <n v="46"/>
    <s v="Citer les propriétés des carrés (axe(s) et centre de symétrie, côtés, angles, diagonales)"/>
    <x v="1"/>
    <s v="4 axes de symétrie : la médiatrice des côtés et les diagonales 1 centre de symétrie Côtés opposés 2 à 2 parallèles 4 côtés de même longueur Les diagonales se coupent en leur milieu, sont de même longueur et sont perpendiculaires 4 angles droits"/>
    <s v="QCM"/>
    <s v="4 axes de symétrie : la médiatrice des côtés et les diagonales 1 centre de symétrie Côtés opposés 2 à 2 parallèles 4 côtés de même longueur Diagonales perpendiculaires de même longueur qui se coupent en leur milieu 4 angles droits.|2 axes de symétrie : la diagonale et la médiatrice 1 centre de symétrie Côtés opposés parallèles, mais de longueurs différentes 4 angles droits Diagonales perpendiculaires qui ne se coupent pas en leur milieu.|1 axe de symétrie 0 centre de symétrie Côtés égaux 3 angles droits Diagonales qui se coupent en leur milieu, mais qui sont de longueurs différentes."/>
    <m/>
  </r>
  <r>
    <n v="47"/>
    <s v="Citer les propriétés des parallélogrammes (axe(s) et centre de symétrie, côtés, angles, diagonales)"/>
    <x v="1"/>
    <s v="0 axe de symétrie 1 centre de symétrie Côtés opposés 2 à 2 parallèles et de même longueur. Diagonales qui se coupent en leur milieu"/>
    <s v="QCM"/>
    <s v="0 axe de symétrie 1 centre de symétrie Côtés opposés 2 à 2 parallèles et de même longueur Diagonales qui se coupent en leur milieu.|1 axe de symétrie 0 centre de symétrie Côtés opposés parallèles, mais de longueurs différentes Diagonales qui ne se coupent pas en leur milieu.|2 axes de symétrie 1 centre de symétrie Côtés opposés 2 à 2 parallèles, mais de longueurs différentes Diagonales de longueurs égales qui ne se coupent pas."/>
    <m/>
  </r>
  <r>
    <n v="48"/>
    <s v="Que faut-il au losange pour obtenir un carré ?"/>
    <x v="1"/>
    <s v="Le losange doit avoir un 1 angle droit ou des diagonales de même longueur"/>
    <s v="QCM"/>
    <s v="Le losange doit avoir 1 angle droit ou des diagonales de même longueur.|Le losange doit avoir 2 angles droits et des côtés de même longueur.|Le losange doit avoir 3 angles droits et des diagonales perpendiculaires."/>
    <m/>
  </r>
  <r>
    <n v="49"/>
    <s v="Sachant que (EF) et (GH) sont parallèles, quels sont les quotients de Thalès associés à cette figure ?"/>
    <x v="1"/>
    <s v="DF/DG = DE/DH = EF/GH"/>
    <s v="QCM"/>
    <s v="DF/DG = DE/DH = EF/GH|DF/DH = DE/DG = EF/GH|DF/DE = DG/DH = EF/GH"/>
    <s v="oui"/>
  </r>
  <r>
    <n v="50"/>
    <s v="Sachant que (EC) et (AB) sont parallèles, quels sont les quotients de Thalès associés à cette figure ?"/>
    <x v="1"/>
    <s v="DB/DC = DA/DE = AB/EC"/>
    <s v="QCM"/>
    <s v="DB/DC = DA/DE = AB/EC|DB/DE = DA/DC = AB/EC|DA/DB = DC/DE = AB/EC"/>
    <s v="oui"/>
  </r>
  <r>
    <n v="51"/>
    <s v="(EF) et (GH) sont-elles parallèles ?"/>
    <x v="1"/>
    <s v="3/5 = 0,6 et 4/6 ≈ 0,6 Les quotients ne sont pas égaux donc les droites ne sont pas parallèles."/>
    <s v="VF"/>
    <s v="F"/>
    <s v="oui"/>
  </r>
  <r>
    <n v="52"/>
    <s v="(EF) et (GH) sont-elles parallèles ?"/>
    <x v="1"/>
    <s v="3/5 = 0,6 et 6/10 = 0,6 Les quotients sont égaux donc les droites sont parallèles."/>
    <s v="VF"/>
    <s v="V"/>
    <s v="oui"/>
  </r>
  <r>
    <n v="53"/>
    <s v="(AB) et (EC) sont-elles parallèles ?"/>
    <x v="1"/>
    <s v="3/9 = 1/3 et 18/6 = 3 Les quotients ne sont pas égaux donc les parallèles ne sont pas parallèles."/>
    <s v="VF"/>
    <s v="F"/>
    <s v="oui"/>
  </r>
  <r>
    <n v="54"/>
    <s v="(AB) et (EC) sont-elles parallèles ?"/>
    <x v="1"/>
    <s v="3/9 = 1/3 et 6/18 = 1/3 Les quotients sont égaux donc les droites sont parallèles."/>
    <s v="VF"/>
    <s v="V"/>
    <s v="oui"/>
  </r>
  <r>
    <n v="55"/>
    <s v="Citer la formule pour calculer le périmètre d’un disque"/>
    <x v="1"/>
    <s v="2 x π x rayon"/>
    <s v="QCM"/>
    <s v="2 x π x rayon|π x rayon^2|2 x π x diamètre"/>
    <m/>
  </r>
  <r>
    <n v="56"/>
    <s v="Quelle est la définition de 2 triangles égaux ?"/>
    <x v="1"/>
    <s v="Deux triangles sont égaux s’ils ont les longueurs des côtés homologues sont de même mesure."/>
    <s v="QCM"/>
    <s v="Deux triangles sont égaux s’ils ont les longueurs des côtés homologues sont de même mesure.|Deux triangles sont égaux s’Ils ont les côtés non égaux mais les mêmes angles.|Deux triangles sont égaux s’Ils ont les angles opposés égaux."/>
    <m/>
  </r>
  <r>
    <n v="65"/>
    <s v="Sachant que (EF) et (GH) sont parallèles, quelle est la longueur DH ?"/>
    <x v="1"/>
    <s v=" DF/DG = DE/DH = EF/GH  2/6 = 1,2/DH  DH = 3,6"/>
    <s v="RDS"/>
    <n v="3.6"/>
    <s v="oui"/>
  </r>
  <r>
    <n v="66"/>
    <s v="Sachant que (EF) et (GH) sont parallèles, quelle est la longueur DG ?"/>
    <x v="1"/>
    <s v=" DF/DG = DE/DH = EF/GH  0,6/DG = 3/11  DG = 2,2"/>
    <s v="RDS"/>
    <n v="2.2000000000000002"/>
    <s v="oui"/>
  </r>
  <r>
    <n v="67"/>
    <s v="Sachant que (EF) et (GH) sont parallèles, quelle est la longueur EF ?"/>
    <x v="1"/>
    <s v=" DF/DG = DE/DH = EF/GH  EF/3 = 10,5/15  EF = 2,1"/>
    <s v="RDS"/>
    <n v="2.1"/>
    <s v="oui"/>
  </r>
  <r>
    <n v="68"/>
    <s v="Sachant que (EF) et (GH) sont parallèles, quelle est la longueur GH ?"/>
    <x v="1"/>
    <s v=" DF/DG = DE/DH = EF/GH  1,1/GH = 4,4/16  GH = 4"/>
    <s v="RDS"/>
    <n v="4"/>
    <s v="oui"/>
  </r>
  <r>
    <n v="69"/>
    <s v="Sachant que (AB) et (EC) sont parallèles, quelle est la longueur ED ?"/>
    <x v="1"/>
    <s v="DB/DC = DA/DE = AB/EC  3/8 = 18/DE  DE = 48"/>
    <s v="RDS"/>
    <n v="48"/>
    <s v="oui"/>
  </r>
  <r>
    <n v="70"/>
    <s v="Sachant que (AB) et (EC) sont parallèles, quelle est la longueur EC ?"/>
    <x v="1"/>
    <s v="DB/DC = DA/DE = AB/EC  4/5 = 08/CE  CE = 12,5"/>
    <s v="RDS"/>
    <n v="12.5"/>
    <s v="oui"/>
  </r>
  <r>
    <n v="71"/>
    <s v="Peut-on appliquer le théorème de Thalès ? Justifier. Si oui, quels sont les quotients égaux ?"/>
    <x v="1"/>
    <s v="Oui car si 2 droites sont perpendiculaires  à une même droite alors elles sont  parallèles entre elles. Ici, (MN) et (AB) sont perpendiculaires à (AN) donc :  (MN) // (AB)  ON/OA = OM/OB= MN/AB"/>
    <s v="VF"/>
    <s v="V"/>
    <s v="oui"/>
  </r>
  <r>
    <n v="72"/>
    <s v="Peut-on appliquer le théorème de Thalès ? Justifier. Si oui, quels sont les quotients égaux ?"/>
    <x v="1"/>
    <s v="Non On ne sait pas si (AB) et (EC) sont parallèles."/>
    <s v="VF"/>
    <s v="F"/>
    <s v="oui"/>
  </r>
  <r>
    <n v="73"/>
    <s v="Quelle est la longueur MN ?"/>
    <x v="1"/>
    <s v="On utilise le théorème de Pythagore dans le triangle MNO rectangle en N : MO² = MN² + NO² MN² = 62 – 42 MN² = 36 – 16 = 20 MN = √20"/>
    <s v="RDS"/>
    <s v="√20"/>
    <s v="oui"/>
  </r>
  <r>
    <n v="74"/>
    <s v="Quelle est la longueur AB ?"/>
    <x v="1"/>
    <s v="(MN) et (AB) sont perpendiculaires à (NA) donc (MN)//(AB) On utilise le théorème de Thalès: OB = 42 On utilise le théorème de Pythagore dans le triangle ABO rectangle en A : BO² = OA² + AB² AB² = 42²– 28² AB² = 980 AB = √980"/>
    <s v="RDS"/>
    <s v="√980"/>
    <s v="oui"/>
  </r>
  <r>
    <n v="75"/>
    <s v="Quelle est la mesure de l’angle MON arrondie au degré ?"/>
    <x v="1"/>
    <s v="On utilise la formule du cosinus d’un angle dans le triangle MNO rectangle en N : cos(MON)= NO/MO = 4/6   MON=cos^−1(4/6 )≈-48°"/>
    <s v="RDS"/>
    <s v="48|48°"/>
    <s v="oui"/>
  </r>
  <r>
    <n v="76"/>
    <s v="Quelle est la mesure de l’angle NMO arrondie au degré ?"/>
    <x v="1"/>
    <s v="On utilise la formule du sinus d’un angle dans le triangle MNO rectangle en N : sin(OMN)= NO/MO = 4/6   OMN=sin^−1(4/6 )≈-42°"/>
    <s v="RDS"/>
    <s v="42|42°"/>
    <s v="oui"/>
  </r>
  <r>
    <n v="77"/>
    <s v="On se place dans un triangle rectangle. Parmi ces résultats, lesquels sont impossibles ? a/ cos (angle) ≈ 1,4 b/ cos (105) c/ cos (angle) ≈ - 0,5 d/ cos (angle) ≈ 0,99"/>
    <x v="1"/>
    <s v="Réponses a/, b/ c/ car : a/ et c/ car le cosinus d’un angle est compris entre 0 et 1 inclus. b/ Dans un triangle rectangle, les angles sont aigus donc les angles doivent être inférieurs ou égaux à 90°"/>
    <s v="QCM"/>
    <s v="a/, b/ c/|a/, b/ d/|b/, c/ d/"/>
    <m/>
  </r>
  <r>
    <n v="78"/>
    <s v="Voici l’extrait du tableur dans le logiciel de géométrie géogebra. Que faut-il saisir comme formule dans B2 et dans B3 ?"/>
    <x v="1"/>
    <s v="On saisit dans B2 : = YL / LS On saisit dans B3 : = YS / SL"/>
    <s v="QCM"/>
    <s v="On saisit dans B2 : = YL / LS, dans B3 : = YS / SL|On saisit dans B2 : = LS / YL, dans B3 : = SL / YS|On saisit dans B2 : = YL * LS, dans B3 : = YS * SL"/>
    <s v="oui"/>
  </r>
  <r>
    <n v="79"/>
    <s v="Déterminer l’arrondi au mm près de DB."/>
    <x v="1"/>
    <s v="On utilise la formule du cosinus d’un angle dans le triangle ABD rectangle en A : cos(61)= 72/DB  DB = 72/cos (61)   DB ≈ 148,5 mm "/>
    <s v="RDS"/>
    <s v="148,5 mm|72/cos(61) mm"/>
    <s v="oui"/>
  </r>
  <r>
    <n v="80"/>
    <s v="Déterminer l’arrondi au mm près de AB"/>
    <x v="1"/>
    <s v="On utilise la formule de la tangente d’un angle dans le triangle ABD rectangle en A : tan(61)= AB/78  AB=72 ×tan (61)   AB ≈ 130 mm "/>
    <s v="RDS"/>
    <s v="130 mm|78 * tan(61) mm |78 x tan(61) mm |78 × tan(61) mm"/>
    <s v="oui"/>
  </r>
  <r>
    <n v="81"/>
    <s v="Comment s’appellent ces lignes imaginaires ?"/>
    <x v="2"/>
    <s v="Ce sont des méridiens."/>
    <s v="QCM"/>
    <s v="Ce sont des méridiens.|Ce sont des parallèles.| Ce sont des longitudes."/>
    <s v="oui"/>
  </r>
  <r>
    <n v="82"/>
    <s v="Comment s’appelle la mesure indiquée sur ces lignes imaginaires ?"/>
    <x v="2"/>
    <s v="Il s’agit de la longitude"/>
    <s v="QCM"/>
    <s v="Il s’agit de la longitude.|Il s’agit de la latitude.|Il s’agit de l'altitude."/>
    <s v="oui"/>
  </r>
  <r>
    <n v="83"/>
    <s v="Comment s’appelle le méridien qui a pour longitude 0° ?"/>
    <x v="2"/>
    <s v="C’est le méridien de Greenwich"/>
    <s v="QCM"/>
    <s v="C’est le méridien de Greenwich.|C’est l’équateur.|C’est le méridien de Paris."/>
    <s v="oui"/>
  </r>
  <r>
    <n v="84"/>
    <s v="Comment s’appellent ces lignes imaginaires ?"/>
    <x v="2"/>
    <s v="Ce sont des parallèles"/>
    <s v="QCM"/>
    <s v="Ce sont des parallèles.|Ce sont des méridiens.|Ce sont des axes."/>
    <s v="oui"/>
  </r>
  <r>
    <n v="85"/>
    <s v="Comment s’appelle la parallèle qui a pour latitude 0° ?"/>
    <x v="2"/>
    <s v="C’est l’équateur"/>
    <s v="QCM"/>
    <s v="C’est l’équateur.|C’est le tropique du Cancer.|C’est la parallèle de Greenwich."/>
    <s v="oui"/>
  </r>
  <r>
    <n v="86"/>
    <s v="Les lieux situés sur le même méridien ont la même longitude. Vrai ou faux ?"/>
    <x v="2"/>
    <b v="1"/>
    <s v="VF"/>
    <s v="V"/>
    <m/>
  </r>
  <r>
    <n v="87"/>
    <s v="Les lieux situés sur la même parallèle ont la même longitude. Vrai ou faux ?"/>
    <x v="2"/>
    <s v="Faux, ils ont la même latitude"/>
    <s v="VF"/>
    <s v="F"/>
    <m/>
  </r>
  <r>
    <n v="88"/>
    <s v="Quelles sont les coordonnées de ce point ?"/>
    <x v="2"/>
    <s v="(60° E ; 40° N)"/>
    <s v="QCM"/>
    <s v="(60° E ; 40° N)|(40° E ; 60° N)|(60° O ; 40° S)"/>
    <s v="oui"/>
  </r>
  <r>
    <n v="89"/>
    <s v="Quelles sont les coordonnées de ce point ?"/>
    <x v="2"/>
    <s v="(60° E; 40° S)"/>
    <s v="QCM"/>
    <s v="(60° E ; 40° S)|(40° E ; 60° S)|(60° E ; 40° N)"/>
    <s v="oui"/>
  </r>
  <r>
    <n v="90"/>
    <s v="Quelles sont les coordonnées  de ce point ?"/>
    <x v="2"/>
    <s v="(30° O; 60° S)"/>
    <s v="QCM"/>
    <s v="(30° O ; 60° S)|(60° O ; 30° S)|(30° O ; 60° N)"/>
    <s v="oui"/>
  </r>
  <r>
    <n v="91"/>
    <s v="Quelles sont les coordonnées de ce point ?"/>
    <x v="2"/>
    <s v="(0° ; 20° N)"/>
    <s v="QCM"/>
    <s v="(0° ; 20° N)|(20° O ;0° S)|(0° ;20° S)"/>
    <s v="oui"/>
  </r>
  <r>
    <n v="92"/>
    <s v="Quelles sont les coordonnées du point D?"/>
    <x v="2"/>
    <s v="D (0 ; 0 ; 2)"/>
    <s v="QCM"/>
    <s v="D (0 ; 0 ; 2)|D (0 ; 2 ; 0)|D (2 ; 0 ; 0)"/>
    <s v="oui"/>
  </r>
  <r>
    <n v="93"/>
    <s v="Quelles sont les coordonnées du point B?"/>
    <x v="2"/>
    <s v="B (3 ; 0 ; 0)"/>
    <s v="QCM"/>
    <s v="B (3 ; 0 ; 0)|B (0 ; 3 ; 0)|B (0 ; 0 ; 3)"/>
    <s v="oui"/>
  </r>
  <r>
    <n v="94"/>
    <s v="Quelles sont les coordonnées du point E?"/>
    <x v="2"/>
    <s v="E (0 ; 4 ; 0)"/>
    <s v="QCM"/>
    <s v="E (0 ; 4 ; 0)|E (4 ; 0 ; 0)|E (0 ; 0 ; 4)"/>
    <s v="oui"/>
  </r>
  <r>
    <n v="95"/>
    <s v="Quelles sont les coordonnées du point F?"/>
    <x v="2"/>
    <s v="F (3 ; 0 ; 2)"/>
    <s v="QCM"/>
    <s v="F (3 ; 0 ; 2)|F (2 ; 0 ; 3)|F (0 ; 3 ; 2)"/>
    <s v="oui"/>
  </r>
  <r>
    <n v="96"/>
    <s v="Quelles sont les coordonnées du point G?"/>
    <x v="2"/>
    <s v="G (3 ; 4 ; 2)"/>
    <s v="QCM"/>
    <s v="G (3 ; 4 ; 2)|G (4 ; 3 ; 2)|G (2 ; 3 ; 4)"/>
    <s v="oui"/>
  </r>
  <r>
    <n v="97"/>
    <s v="Qu’est-ce qu’un parallélépipède rectangle ?"/>
    <x v="2"/>
    <s v="C’est un solide à 6 faces rectangulaires dont les faces opposées sont superposables."/>
    <s v="QCM"/>
    <s v="C’est un solide à 6 faces rectangulaires dont les faces opposées sont superposables.|C’est un solide à 6 faces carrées, dont toutes les faces sont de même dimension.|C’est un solide à 6 faces triangulaires."/>
    <m/>
  </r>
  <r>
    <n v="98"/>
    <s v="Qu’est-ce qu’un prisme droit ?"/>
    <x v="2"/>
    <s v="C’est un solide possédant 2 bases polygonales superposables et dont les faces latérales sont des rectangles."/>
    <s v="QCM"/>
    <s v="C’est un solide avec 2 bases polygonales superposables et des faces latérales rectangulaires.|C’est un solide avec 2 bases circulaires superposables et des faces latérales rectangulaires.|C’est un solide avec 1 base polygonale et des faces latérales triangulaires."/>
    <m/>
  </r>
  <r>
    <n v="99"/>
    <s v="Qu’est-ce qu’un cube ?"/>
    <x v="2"/>
    <s v="C’est un solide possédant 6 faces carrées de même dimension."/>
    <s v="QCM"/>
    <s v="C’est un solide à 6 faces carrées, toutes de même dimension.|C’est un solide à 6 faces rectangulaires, dont les faces opposées sont superposables.|C’est un solide à 6 faces triangulaires, toutes de même dimension."/>
    <m/>
  </r>
  <r>
    <n v="100"/>
    <s v="Qu’est-ce qu’un cylindre ?"/>
    <x v="2"/>
    <s v="C’est un solide possédant 2 bases opposées qui sont des disques de même rayon et dont la face latérale est un rectangle."/>
    <s v="QCM"/>
    <s v="C’est un solide avec 2 bases circulaires de même rayon et une face latérale rectangulaire.|C’est un solide avec 2 bases rectangulaires de même dimension et une face latérale rectangulaire.|C’est un solide avec 1 base polygonale et des faces latérales triangulaires."/>
    <m/>
  </r>
  <r>
    <n v="101"/>
    <s v="Qu’est-ce qu’une pyramide ?"/>
    <x v="2"/>
    <s v="C’est un solide possédant 1 base polygonale et dont les faces latérales sont des triangles ayant un sommet commun."/>
    <s v="QCM"/>
    <s v="C’est un solide avec 1 base polygonale et des faces latérales triangulaires convergeant vers un sommet.|C’est un solide avec 1 base circulaire et des faces latérales rectangulaires convergeant vers un sommet.|C’est un solide avec 2 bases polygonales superposables et des faces latérales rectangulaires."/>
    <m/>
  </r>
  <r>
    <n v="102"/>
    <s v="Qu’est-ce qu’un cône ?"/>
    <x v="2"/>
    <s v="C’est un solide possédant 1 base qui est un disque et 1 face latérale qui est un secteur de disque."/>
    <s v="QCM"/>
    <s v="C’est un solide avec 1 base circulaire et une face latérale formant un secteur de disque.|C’est un solide avec 2 bases circulaires et une face latérale rectangulaire.|C’est un solide avec 1 base polygonale et des faces latérales triangulaires convergeant vers un sommet."/>
    <m/>
  </r>
  <r>
    <n v="103"/>
    <s v="Quelle formule permet de calculer le volume d’un pavé droit ?"/>
    <x v="2"/>
    <s v="Longueur x largeur x hauteur"/>
    <s v="QCM"/>
    <s v="Longueur x largeur x hauteur|Aire de la base x hauteur|(π x rayon² x hauteur) / 3"/>
    <m/>
  </r>
  <r>
    <n v="104"/>
    <s v="Quelle formule permet de calculer le volume d’un prisme droit ?"/>
    <x v="2"/>
    <s v="Aire de la base du prisme x hauteur"/>
    <s v="QCM"/>
    <s v="Aire de la base du prisme x hauteur|Longueur x largeur x hauteur|(π x rayon² x hauteur)"/>
    <m/>
  </r>
  <r>
    <n v="105"/>
    <s v="Comment s’appelle la mesure de l’angle qui permet de situer un point sur une parallèle ?"/>
    <x v="2"/>
    <s v="C’est une latitude"/>
    <s v="QCM"/>
    <s v="C’est une latitude|C’est une longitude|C’est une altitude"/>
    <s v="oui"/>
  </r>
  <r>
    <n v="106"/>
    <s v="Quelle est la section d’un cylindre par un plan parallèle à son axe ? Donner les caractéristiques connues."/>
    <x v="2"/>
    <s v="C’est un rectangle de longueur correspond à la hauteur du cylindre"/>
    <s v="QCM"/>
    <s v="C’est un rectangle dont la longueur correspond à la hauteur du cylindre|C’est un disque dont le diamètre est égal à celui de la base du cylindre|C’est un triangle équilatéral"/>
    <m/>
  </r>
  <r>
    <n v="107"/>
    <s v="Quelle est la section d’une pyramide par un plan parallèle à sa base pentagonale ? Donner les caractéristiques connues."/>
    <x v="2"/>
    <s v="C’est une réduction de sa base soit un pentagone"/>
    <s v="QCM"/>
    <s v="C’est une réduction de sa base soit un pentagone|C’est un triangle équilatéral|C’est un rectangle dont une dimension correspond à la hauteur de la pyramide"/>
    <m/>
  </r>
  <r>
    <n v="108"/>
    <s v="Quelle est la section d’un cône par un plan parallèle à sa base ? Donner les caractéristiques connues."/>
    <x v="2"/>
    <s v="C’est une réduction de sa base soit un disque"/>
    <s v="QCM"/>
    <s v="C’est une réduction de sa base soit un disque|C’est un rectangle|C’est un triangle isocèle"/>
    <m/>
  </r>
  <r>
    <n v="109"/>
    <s v="Quelle est la section d’un cylindre par un plan perpendiculaire à son axe ? Donner les caractéristiques connues."/>
    <x v="2"/>
    <s v="C’est un disque de même rayon que celui de la base du cylindre"/>
    <s v="QCM"/>
    <s v="C’est un disque de même rayon que celui de la base du cylindre|C’est un rectangle dont la longueur est la hauteur du cylindre|C’est un triangle rectangle"/>
    <m/>
  </r>
  <r>
    <n v="110"/>
    <s v="Quelle est la section d’une sphère par un plan passant par son centre ? Donner les caractéristiques connues."/>
    <x v="2"/>
    <s v="C’est un disque de même rayon que celui de la sphère"/>
    <s v="QCM"/>
    <s v="C’est un disque de même rayon que la sphère|C’est un rectangle dont une dimension correspond à la hauteur de la sphère|C’est un triangle équilatéral"/>
    <m/>
  </r>
  <r>
    <n v="111"/>
    <s v="Quelle est la section d’un pavé droit par un plan parallèle à une arête ? Donner les caractéristiques connues."/>
    <x v="2"/>
    <s v="C’est un rectangle dont l’une des dimensions est la longueur de cette arête"/>
    <s v="QCM"/>
    <s v="C’est un rectangle dont l’une des dimensions est la longueur de cette arête|C’est un disque dont le rayon est égal à celui de la base|C’est un triangle équilatéral"/>
    <m/>
  </r>
  <r>
    <n v="112"/>
    <s v="Quelle est la section d’un pavé droit par un plan parallèle à une face ? Donner les caractéristiques connues."/>
    <x v="2"/>
    <s v="C’est un rectangle qui a les mêmes dimensions que cette face."/>
    <s v="QCM"/>
    <s v="C’est un rectangle qui a les mêmes dimensions que cette face|C’est un disque dont le rayon est égal à celui de la base|C’est un triangle isocèle"/>
    <m/>
  </r>
  <r>
    <n v="113"/>
    <s v="Qu’est-ce qu’une sphère ?"/>
    <x v="2"/>
    <s v="C’est un solide constitué de l’ensemble des points situés à une même distance du centre."/>
    <s v="QCM"/>
    <s v="C’est un solide constitué de l’ensemble des points situés à une même distance du centre|C’est un solide à 6 faces carrées de même dimension|C’est un solide dont la base est un disque et la face latérale est un rectangle"/>
    <m/>
  </r>
  <r>
    <n v="114"/>
    <s v="Quelle formule permet de calculer le volume d’un cône ?"/>
    <x v="2"/>
    <s v="(π x rayon x rayon x hauteur) / 3"/>
    <s v="QCM"/>
    <s v="(π x rayon² x hauteur) / 3|Aire de la base x hauteur|Longueur x largeur x hauteur"/>
    <m/>
  </r>
  <r>
    <n v="115"/>
    <s v="Quelle formule permet de calculer le volume d’une pyramide ?"/>
    <x v="2"/>
    <s v="(aire de la base x hauteur) / 3"/>
    <s v="QCM"/>
    <s v="(Aire de la base x hauteur) / 3|(π x rayon² x hauteur) / 3|Longueur x largeur x hauteur"/>
    <m/>
  </r>
  <r>
    <n v="116"/>
    <s v="Quelle formule permet de calculer le volume d’une boule ? "/>
    <x v="2"/>
    <s v="(π x rayon x rayon x rayon x 4) / 3"/>
    <s v="QCM"/>
    <s v="(π x rayon x rayon x rayon x 4) / 3|(π x rayon³)/(3 x 4)|(Aire de la base x hauteur) / 3"/>
    <m/>
  </r>
  <r>
    <n v="117"/>
    <s v="Quelle formule permet de calculer le volume d’un cylindre ?"/>
    <x v="2"/>
    <s v="π x rayon x rayon x hauteur"/>
    <s v="QCM"/>
    <s v="π x rayon² x hauteur|π x rayon³|Aire de la base x hauteur²"/>
    <m/>
  </r>
  <r>
    <n v="118"/>
    <s v="Quelle formule permet de calculer le volume d’un cube ?"/>
    <x v="2"/>
    <s v="Arête x arête x arête"/>
    <s v="QCM"/>
    <s v="Arête³|Longueur³|Aire de la base³"/>
    <m/>
  </r>
  <r>
    <n v="119"/>
    <s v="Combien de faces latérales possède la pyramide à base octogonale ?"/>
    <x v="2"/>
    <s v="Autant de côtés sur sa base soit 8."/>
    <s v="RDS"/>
    <s v="8|8 côtés|8 coté|"/>
    <m/>
  </r>
  <r>
    <n v="120"/>
    <s v="Combien de sommet(s) possède la sphère de centre O ?"/>
    <x v="2"/>
    <n v="0"/>
    <s v="RDS"/>
    <n v="0"/>
    <m/>
  </r>
  <r>
    <n v="121"/>
    <s v="Combien de sommets possède la pyramide à base heptagonale ? "/>
    <x v="2"/>
    <s v="7 sommets sur sa base et 1 sommet principal soit 8"/>
    <s v="RDS"/>
    <s v="8| 8 sommets"/>
    <m/>
  </r>
  <r>
    <n v="122"/>
    <s v="Combien de sommets possède le prisme droit à base hexagonale ?"/>
    <x v="2"/>
    <s v="6 sommets x 2 bases soit 12 "/>
    <s v="RDS"/>
    <s v="12|12 sommets"/>
    <m/>
  </r>
  <r>
    <n v="123"/>
    <s v="Combien de faces possède le prisme droit à base décagonale ?"/>
    <x v="2"/>
    <s v="10 faces latérales + 2 bases soit 12"/>
    <s v="RDS"/>
    <s v="12|12 sommets"/>
    <m/>
  </r>
  <r>
    <n v="124"/>
    <s v="Quel est le volume exact du cône dont sa base a pour rayon 10 cm et sa hauteur 30 cm ?"/>
    <x v="2"/>
    <s v="(π×10×10 ×30)/3  donc 1000π cm³ "/>
    <s v="RDS"/>
    <s v="1000π|1000π cm³ "/>
    <m/>
  </r>
  <r>
    <n v="125"/>
    <s v="Quel est le volume exact de la sphère de rayon 30 cm ?"/>
    <x v="2"/>
    <s v="(π × 30 × 30 × 30 x 4)/3  donc 36 000π cm³ "/>
    <s v="RDS"/>
    <s v="36000π|36000π cm³ "/>
    <m/>
  </r>
  <r>
    <n v="126"/>
    <s v="Quel est le volume exact de la pyramide à base carrée de longueur de côté 5 cm et de hauteur 6 cm ?"/>
    <x v="2"/>
    <s v="(5  × 5 × 6)/3  donc 50 π cm³ "/>
    <s v="RDS"/>
    <s v="50π|50π cm³ "/>
    <m/>
  </r>
  <r>
    <n v="127"/>
    <s v="Quel est le volume exact du cylindre de diamètre 8 cm et de hauteur 2 cm ?"/>
    <x v="2"/>
    <s v="π x 4 x 4 x 2 soit 32  π cm³ "/>
    <s v="RDS"/>
    <s v="32π|32π cm³ "/>
    <m/>
  </r>
  <r>
    <n v="128"/>
    <s v="Quel est le volume exact du prisme droit dont la hauteur mesure 2 cm et dont la base est un triangle rectangle dont les dimensions sont 3cm, 4 cm et 5 cm ?"/>
    <x v="2"/>
    <s v="(3 × 4)/2 x 2  donc 12 cm³ "/>
    <s v="RDS"/>
    <s v="12|12 cm³ "/>
    <m/>
  </r>
  <r>
    <n v="129"/>
    <s v="Quel est le nom de ce solide ? Et donner la nature de sa base"/>
    <x v="2"/>
    <s v="C’est une pyramide. Sa base est un parallélogramme."/>
    <s v="QCM"/>
    <s v="C’est une pyramide. Sa base est un parallélogramme.|C’est un prisme droit. Sa base est un triangle.|C’est un prisme droit. Sa base est un rectangle."/>
    <m/>
  </r>
  <r>
    <n v="130"/>
    <s v="Quel est le nom de ce solide ? Et donner la nature de sa base"/>
    <x v="2"/>
    <s v="C’est une pyramide. Sa base est un hexagone."/>
    <s v="QCM"/>
    <s v="C’est une pyramide. Sa base est un hexagone.|C’est un cône. Sa base est un disque.|C’est un prisme. Sa base est un pentagone."/>
    <m/>
  </r>
  <r>
    <n v="131"/>
    <s v="Quel est le nom de ce solide ? Et donner la nature de sa base"/>
    <x v="2"/>
    <s v="C’est un tétraèdre ou une pyramide. Sa base est un triangle."/>
    <s v="QCM"/>
    <s v="C’est un tétraèdre. Sa base est un triangle.|C’est une pyramide. Sa base est un quadrilatère.|C’est un cône. Sa base est un disque."/>
    <m/>
  </r>
  <r>
    <n v="132"/>
    <s v="Quel est le nom de ce solide ? Et donner la nature de sa base"/>
    <x v="2"/>
    <s v="C’est un cône. Sa base est un disque."/>
    <s v="QCM"/>
    <s v="C’est un cône. Sa base est un disque.|C’est un cylindre. Sa base est un cercle.|C’est un prisme. Sa base est un triangle."/>
    <m/>
  </r>
  <r>
    <n v="133"/>
    <s v="Quel est le nom de ce solide ? Et donner la nature de ses bases"/>
    <x v="2"/>
    <s v="C’est un cylindre. Ses bases sont des disques."/>
    <s v="QCM"/>
    <s v="C’est un cylindre. Ses bases sont des disques.|C’est un prisme droit. Ses bases sont des rectangles.|C’est une pyramide. Ses bases sont des triangles."/>
    <m/>
  </r>
  <r>
    <n v="134"/>
    <s v="Quel est le nom de ce solide ? Et donner la nature de ses bases"/>
    <x v="2"/>
    <s v="C’est un prisme droit. Ses bases sont des triangles."/>
    <s v="QCM"/>
    <s v="C’est un prisme droit. Ses bases sont des triangles.|C’est un prisme droit. Ses bases sont des quadrilatères.|C’est un prisme droit. Ses bases sont des hexagones."/>
    <m/>
  </r>
  <r>
    <n v="135"/>
    <s v="Quel est le nom de ce solide ? Et donner la nature de ses bases"/>
    <x v="2"/>
    <s v="C’est un prisme droit. Ses bases sont des quadrilatères."/>
    <s v="QCM"/>
    <s v="C’est un prisme droit. Ses bases sont des quadrilatères.|C’est un prisme droit. Ses bases sont des hexagones.|C’est un prisme droit. Ses bases sont des triangles."/>
    <m/>
  </r>
  <r>
    <n v="136"/>
    <s v="Quel est le nom de ce solide ? Et donner la nature de ses bases"/>
    <x v="2"/>
    <s v="C’est un prisme droit. Ses bases sont des hexagones."/>
    <s v="QCM"/>
    <s v="C’est un prisme droit. Ses bases sont des hexagones.|C’est un prisme droit. Ses bases sont des quadrilatères.|C’est un prisme droit. Ses bases sont des triangles."/>
    <m/>
  </r>
  <r>
    <n v="137"/>
    <s v="Soit le point A et son symétrique A’ par rapport à la droite (d). Que représente la droite (d) par rapport à [AA’] ?"/>
    <x v="3"/>
    <s v="(d) est la médiatrice de [AA’]. C’est-à-dire qu’elle passe par le milieu de [AA’] perpendiculairement."/>
    <s v="QCM"/>
    <s v="(d) est la médiatrice de [AA’].|(d) est une parallèle à [AA’].|(d) est une tangente à [AA’]."/>
    <m/>
  </r>
  <r>
    <n v="138"/>
    <s v="Soit le point A et son symétrique A’ par rapport au centre O. Que représente le point 0 par rapport à [AA’] ?"/>
    <x v="3"/>
    <s v="Le point O est le milieu de [AA’]"/>
    <s v="QCM"/>
    <s v="Le point O est le milieu de [AA’].|Le point O est un sommet de [AA’].|Le point O est une extrémité de [AA’]."/>
    <m/>
  </r>
  <r>
    <n v="139"/>
    <s v="Comment vérifier que 2 figures sont symétriques par rapport à une droite (d) ?"/>
    <x v="3"/>
    <s v="On plie le long de l’axe (d) et les 2 figures doivent se superposer."/>
    <s v="QCM"/>
    <s v="On plie le long de l’axe (d), et les deux figures doivent se superposer.|On effectue une rotation d’angle 90° autour de (d).|On traduit les deux figures selon une droite parallèle à (d)."/>
    <m/>
  </r>
  <r>
    <n v="140"/>
    <s v="Comment vérifier que 2 figures sont symétriques par rapport à un point 0 ?"/>
    <x v="3"/>
    <s v="On effectue un demi-tour autour de ce point O et les 2 figures doivent se superposer."/>
    <s v="QCM"/>
    <s v="On effectue un demi-tour autour de ce point O, et les deux figures doivent se superposer.|On plie les figures le long d’un axe passant par O.|On effectue une translation de la figure autour de O."/>
    <m/>
  </r>
  <r>
    <n v="141"/>
    <s v="Que faut-il annoncer pour définir une rotation ?"/>
    <x v="3"/>
    <s v="Il faut un centre, un angle et un sens de rotation"/>
    <s v="QCM"/>
    <s v="Un centre, un angle et un sens de rotation.|Un centre, une direction et une longueur.|Un axe, une longueur et un rapport d’homothétie."/>
    <m/>
  </r>
  <r>
    <n v="142"/>
    <s v="Que faut-il annoncer pour définir une translation ?"/>
    <x v="3"/>
    <s v="Il faut un une direction de déplacement, une longueur de déplacement et un sens de déplacement. Il est souvent traduit par une flèche"/>
    <s v="QCM"/>
    <s v="Une direction, une longueur et un sens de déplacement.|Un centre, un angle et un sens de rotation.|Un axe et un rapport de réduction."/>
    <m/>
  </r>
  <r>
    <n v="143"/>
    <s v="Quel effet a une homothétie de rapport 2 sur une figure ?"/>
    <x v="3"/>
    <s v="La figure est agrandie, toutes les dimensions  sont multipliées par 2."/>
    <s v="QCM"/>
    <s v="La figure est agrandie, toutes les dimensions sont multipliées par 2.|La figure est réduite, toutes les dimensions sont divisées par 2.|La figure est retournée, sans changement de taille."/>
    <m/>
  </r>
  <r>
    <n v="144"/>
    <s v="Quel effet a une homothétie de rapport 0,5 sur une figure ?"/>
    <x v="3"/>
    <s v="La figure est réduite, toutes les dimensions sont divisées par 2."/>
    <s v="QCM"/>
    <s v="La figure est réduite, toutes les dimensions sont divisées par 2.|La figure est agrandie, toutes les dimensions sont multipliées par 2.|La figure est retournée, toutes les dimensions sont divisées par 1/2."/>
    <m/>
  </r>
  <r>
    <n v="145"/>
    <s v="Quel effet a une homothétie de rapport - 2 sur une figure ?"/>
    <x v="3"/>
    <s v="La figure est agrandie mais retournée (rotation d’angle 180°) et toutes les dimensions sont multipliées par 2."/>
    <s v="QCM"/>
    <s v="La figure est agrandie mais retournée, avec toutes les dimensions multipliées par 2.|La figure est réduite et retournée, toutes les dimensions sont divisées par 2.|La figure est déplacée, sans changement de taille."/>
    <m/>
  </r>
  <r>
    <n v="146"/>
    <s v="Quel effet a une homothétie de rapport 1 sur une figure ?"/>
    <x v="3"/>
    <s v="Aucun, c’est la même figure, sans être déplacée."/>
    <s v="QCM"/>
    <s v="Aucun effet, c’est la même figure, sans déplacement.|La figure est agrandie.|La figure est retournée, mais garde la même taille."/>
    <m/>
  </r>
  <r>
    <n v="147"/>
    <s v="Quel effet a une homothétie de rapport – 0,25 sur une figure ?"/>
    <x v="3"/>
    <s v="La figure est réduite mais retournée (rotation d’angle 180°) et toutes les Dimensions sont divisées par 4."/>
    <s v="QCM"/>
    <s v="La figure est réduite mais retournée, toutes les dimensions sont divisées par 4.|La figure est agrandie, toutes les dimensions sont multipliées par 4.|La figure est réduite sans être retournée."/>
    <m/>
  </r>
  <r>
    <n v="148"/>
    <s v="Quel effet a une homothétie de rapport - 1 sur une figure ?"/>
    <x v="3"/>
    <s v="C’est la même figure, mais elle est retournée (rotation d’angle 180°)"/>
    <s v="QCM"/>
    <s v="La figure est retournée, mais garde la même taille.|La figure est agrandie et retournée.|La figure est réduite, sans retournement."/>
    <m/>
  </r>
  <r>
    <n v="149"/>
    <s v="Comment différencier une homothétie qui agrandit, d’une homothétie qui réduit une figure ?"/>
    <x v="3"/>
    <s v="Le rapport d’un agrandissement est supérieur strictement à 1 ou inférieur strictement à -1. Alors que le rapport d’une réduction est compris entre 0 et 1 strictement ou strictement compris entre -1 et 0."/>
    <s v="QCM"/>
    <s v="Une homothétie agrandit si le rapport est supérieur à 1 ou inférieur à -1, et réduit si le rapport est entre 0 et 1 ou entre -1 et 0.|Une homothétie agrandit si le rapport est supérieur à 0, et réduit si le rapport est négatif.|Une homothétie agrandit si le rapport est égal à 1, et réduit sinon."/>
    <m/>
  </r>
  <r>
    <n v="150"/>
    <s v="Une figure subit une homothétie de rapport k. Comment évolue son aire ?"/>
    <x v="3"/>
    <s v="Les aires sont multipliées par k²."/>
    <s v="QCM"/>
    <s v="Les aires sont multipliées par k².|Les aires sont multipliées par k.|Les aires sont multipliées par k³."/>
    <m/>
  </r>
  <r>
    <n v="151"/>
    <s v="Un solide est agrandi de rapport k. Comment évolue son volume ?"/>
    <x v="3"/>
    <s v="Les volumes sont multipliés par k³."/>
    <s v="QCM"/>
    <s v="Les volumes sont multipliés par k³.|Les volumes sont multipliés par k².|Les volumes sont multipliés par k."/>
    <m/>
  </r>
  <r>
    <n v="152"/>
    <s v="Une figure subit une homothétie de rapport 10. Quel effet ça a sur les angles ?"/>
    <x v="3"/>
    <s v="Aucun effet : Les angles restent de même mesure."/>
    <s v="QCM"/>
    <s v="Aucun effet : les angles restent de même mesure.|Les angles sont multipliés par 10.|Les angles sont divisés par 10."/>
    <m/>
  </r>
  <r>
    <n v="153"/>
    <s v="Décrire la transformation qui permet de passer de ABC à A’B’C’ ?"/>
    <x v="3"/>
    <s v="C’est une homothétie de centre A et de rapport -2"/>
    <s v="QCM"/>
    <s v="C’est une homothétie de centre A et de rapport -2|C’est une translation de centre A vers B.|C’est une symétrie d’axe (AC)."/>
    <s v="oui"/>
  </r>
  <r>
    <n v="154"/>
    <s v="Décrire la transformation qui permet de passer de ABC à A’B’C’ ?"/>
    <x v="3"/>
    <s v="C’est une symétrie d’axe (AC)"/>
    <s v="QCM"/>
    <s v="C’est une symétrie d’axe (AC).|C’est une rotation de centre B.|C’est une homothétie de centre A et de rapport 2."/>
    <s v="oui"/>
  </r>
  <r>
    <n v="155"/>
    <s v="Décrire la transformation qui permet de passer de ABC à A’B’C’ ?"/>
    <x v="3"/>
    <s v="C’est une symétrie de centre B"/>
    <s v="QCM"/>
    <s v="C’est une symétrie de centre B.|C’est une translation de B vers C.|C’est une rotation d’angle 90° autour de C."/>
    <s v="oui"/>
  </r>
  <r>
    <n v="156"/>
    <s v="Décrire la transformation qui permet de passer de ABC à A’B’C’ ?"/>
    <x v="3"/>
    <s v="C’est une translation de longueur BC, de sens de B vers C et de direction (BC)"/>
    <s v="QCM"/>
    <s v="C’est une translation de longueur BC, de sens de B vers C et de direction (BC).|C’est une homothétie de rapport 3.|C’est une translation de longueur BC, de sens de C vers B et de direction (CB)."/>
    <s v="oui"/>
  </r>
  <r>
    <n v="157"/>
    <s v="Décrire la transformation qui permet de passer de ABC à A’B’C’ ?"/>
    <x v="3"/>
    <s v="C’est une rotation de centre C d’angle 45 ° et de sens anti-horaire"/>
    <s v="QCM"/>
    <s v="C’est une rotation de centre C d’angle 45° et de sens anti-horaire.|C’est une rotation de centre C d’angle 45° et de sens horaire.|C’est une rotation de centre C d’angle 135° et de sens horaire."/>
    <s v="oui"/>
  </r>
  <r>
    <n v="158"/>
    <s v="Décrire la transformation qui permet de passer de ABC à A’B’C’ ?"/>
    <x v="3"/>
    <s v="C’est une homothétie de centre B et de rapport 3"/>
    <s v="QCM"/>
    <s v="C’est une homothétie de centre B et de rapport 3.|C’est une homothétie de centre A et de rapport 3.|C’est une homothétie de centre C et de rapport 3."/>
    <s v="oui"/>
  </r>
  <r>
    <n v="159"/>
    <s v="Décrire la transformation qui permet de passer de ABC à A’B’C’ ?"/>
    <x v="3"/>
    <s v="C’est une homothétie de centre C et de rapport 0,5"/>
    <s v="QCM"/>
    <s v="C’est une homothétie de centre C et de rapport 0,5.|C’est une homothétie de centre A et de rapport 0,5.|C’est une homothétie de centre B et de rapport 0,5."/>
    <s v="oui"/>
  </r>
  <r>
    <n v="160"/>
    <s v="Décrire la transformation qui permet de passer de ABC à A’B’C’ ?"/>
    <x v="3"/>
    <s v="C’est une rotation de centre A  d’angle 90 ° et de sens horaire"/>
    <s v="QCM"/>
    <s v="C’est une homothétie de centre C et de rapport 0,5.|C’est une homothétie de centre A et de rapport 0,5.|C’est une homothétie de centre B et de rapport 0,5."/>
    <s v="oui"/>
  </r>
  <r>
    <n v="161"/>
    <s v="Est-ce une frise, un pavage ou une rosace ?"/>
    <x v="3"/>
    <s v="C’est un pavage."/>
    <s v="QCM"/>
    <s v="C’est un pavage.|C’est une rosace.|C’est une frise."/>
    <s v="oui"/>
  </r>
  <r>
    <n v="162"/>
    <s v="Par quelle transformation avons-nous obtenu cette rosace ? La décrire."/>
    <x v="3"/>
    <s v="C’est par une rotation d’angle 22,5° (car il y a 16 fois le même motif et que l’angle total mesure 360°) Son centre est au centre du vitrail."/>
    <s v="QCM"/>
    <s v="C’est une rotation d’angle 22,5° et de centre au milieu du motif.|C’est une symétrie centrale autour du point O.|C’est une translation d’un motif répété 16 fois."/>
    <s v="oui"/>
  </r>
  <r>
    <n v="163"/>
    <s v="Par quelle transformation avons-nous obtenu cette rosace ? La décrire."/>
    <x v="3"/>
    <s v="C’est par une rotation d’angle 30° (car il y a 12 fois le même carré et que l’angle total mesure 360°) Son centre est au centre de la rosace."/>
    <s v="QCM"/>
    <s v="C’est une rotation d’angle 30° et de centre au milieu du motif.|C’est une rotation d’angle 45° et de centre au milieu du motif.|C’est une rotation d’angle 160° et de centre au milieu du motif."/>
    <s v="oui"/>
  </r>
  <r>
    <n v="164"/>
    <s v="Vrai ou faux ? Justifier. Si A’ et B’ sont les images respectives de A et B par la même translation alors A’B’AB est un parallélogramme."/>
    <x v="3"/>
    <s v="Faux, C’est A’B’BA qui est un parallélogramme."/>
    <s v="VF"/>
    <s v="F"/>
    <m/>
  </r>
  <r>
    <n v="165"/>
    <s v="Vrai ou faux ? Justifier. Un rectangle a un centre de symétrie et 2 axes de symétrie qui sont les diagonales."/>
    <x v="3"/>
    <s v="Faux Un rectangle a un centre de symétrie Et 2 axes de symétrie qui sont les médiatrices des côtés et non les diagonales."/>
    <s v="VF"/>
    <s v="F"/>
    <m/>
  </r>
  <r>
    <n v="166"/>
    <s v="Un rectangle de longueur 4 cm et de largeur 3 cm est transformé par une homothétie de rapport -2. Quelle est l’aire de la figure obtenue ?"/>
    <x v="3"/>
    <s v="L’aire du rectangle initial est : 4 x 3 = 12 cm². L’aire va être multipliée par 22 soit 4 L’aire de la figure obtenue va être : 12 x 4 soit 48 cm²"/>
    <s v="RDS"/>
    <s v="12|12 cm²"/>
    <m/>
  </r>
  <r>
    <n v="167"/>
    <s v="Soit ABC un triangle équilatéral. Quel est l’angle de rotation de centre C qui transforme A en B ?"/>
    <x v="3"/>
    <s v="C’est une rotation d’angle 60°"/>
    <s v="RDS"/>
    <s v="60|60°|60 degrès"/>
    <m/>
  </r>
  <r>
    <n v="168"/>
    <s v="Soit ABCD un rectangle de centre E. Quelle est l’image de A par la translation qui transforme E en C ?"/>
    <x v="3"/>
    <s v="C’est E."/>
    <s v="QCM"/>
    <s v="C’est E.|C’est C.|C’est D."/>
    <m/>
  </r>
  <r>
    <n v="169"/>
    <s v="Décrire par les mots de vocabulaire précis cette notation mathématique : (AB)"/>
    <x v="4"/>
    <s v="C’est la droite passant par A et par B"/>
    <s v="QCM"/>
    <s v="C’est la droite passant par A et par B.|C’est le segment d’extrémités A et B.|C’est la demi-droite d’origine A et passant par B."/>
    <m/>
  </r>
  <r>
    <n v="170"/>
    <s v="Décrire par les mots de vocabulaire précis cette notation mathématique : [AB]"/>
    <x v="4"/>
    <s v="C’est le segment d’extrémités A et par B"/>
    <s v="QCM"/>
    <s v="C’est le segment d’extrémités A et B.|C’est la droite passant par A et B.|C’est la demi-droite d’origine A et passant par B."/>
    <m/>
  </r>
  <r>
    <n v="171"/>
    <s v="Décrire par les mots de vocabulaire précis cette notation mathématique : [AB)"/>
    <x v="4"/>
    <s v="C’est la demi-droite d’origine A Et passant et par B"/>
    <s v="QCM"/>
    <s v="C’est la demi-droite d’origine A et passant par B.|C’est le segment d’extrémités A et B.|C’est la droite passant par A et B."/>
    <m/>
  </r>
  <r>
    <n v="172"/>
    <s v="Décrire par les mots de vocabulaire précis cette notation mathématique : AB"/>
    <x v="4"/>
    <s v="C’est la longueur du segment d’extrémités A et B"/>
    <s v="QCM"/>
    <s v="C’est la longueur du segment d’extrémités A et B.|C’est la longueur de la droite passant par A et B.|C’est la longueur de la demi-droite d’origine A et passant par B."/>
    <m/>
  </r>
  <r>
    <n v="173"/>
    <s v="Décrire par les mots de vocabulaire précis cette notation mathématique : (AB) ⊥ (CD)"/>
    <x v="4"/>
    <s v="La droite passant par A et par B est perpendiculaire à la droite passant par C et D"/>
    <s v="QCM"/>
    <s v="La droite passant par A et par B est perpendiculaire à la droite passant par C et D.|Le segment d’extrémités A et B est perpendiculaire au segment d’extrémités C et D.|La demi-droite d’origine A est perpendiculaire à la droite passant par C et D."/>
    <m/>
  </r>
  <r>
    <n v="174"/>
    <s v="Décrire par les mots de vocabulaire précis cette notation mathématique : (AB) // (CD)"/>
    <x v="4"/>
    <s v="La droite passant par A et par B est parallèle à la droite passant par C et D"/>
    <s v="QCM"/>
    <s v="La droite passant par A et par B est parallèle à la droite passant par C et D.|Le segment d’extrémités A et B est parallèle au segment d’extrémités C et D.|La demi-droite d’origine A est parallèle à la droite passant par C et D._x000a__x000a_"/>
    <m/>
  </r>
  <r>
    <n v="175"/>
    <s v="Décrire par les mots de vocabulaire précis cette notation mathématique : B ∈ (CD)"/>
    <x v="4"/>
    <s v="Le point B appartient à la droite passant par C et par D"/>
    <s v="QCM"/>
    <s v="Le point B appartient à la droite passant par C et D.|Le point B appartient au segment [CD].|Le point B appartient à la demi-droite d’origine C et passant par D.|"/>
    <m/>
  </r>
  <r>
    <n v="176"/>
    <s v="Décrire par les mots de vocabulaire précis cette notation mathématique : B ∉ (CD)"/>
    <x v="4"/>
    <s v="Le point B n’appartient pas à la droite passant par C et par D"/>
    <s v="QCM"/>
    <s v="Le point B n’appartient pas à la droite passant par C et D.|Le point B n’appartient pas au segment [CD].|Le point B n’appartient pas à la demi-droite d’origine C et passant par D."/>
    <m/>
  </r>
  <r>
    <n v="177"/>
    <s v="Donner l’écriture scientifique de : 129,06 × 10^-5 "/>
    <x v="4"/>
    <s v="1,290 6 × 10^-3"/>
    <s v="RDS"/>
    <s v="1,2906×10^-3|12,906×10^ -4|0,12906×10^ -2"/>
    <m/>
  </r>
  <r>
    <n v="178"/>
    <s v="Vrai ou faux ? Justifier. 1÷3=0,333"/>
    <x v="4"/>
    <s v="Faux ce n’est pas une valeur exacte mais une valeur approchée. Il faut écrire 1÷3≈0,333"/>
    <s v="VF"/>
    <s v="F"/>
    <m/>
  </r>
  <r>
    <n v="179"/>
    <s v="Calculer 7^-2 ?"/>
    <x v="4"/>
    <s v="C’est l’inverse de 7² soit 1/49"/>
    <s v="RDS"/>
    <d v="1949-01-01T00:00:00"/>
    <m/>
  </r>
  <r>
    <n v="180"/>
    <s v="Calculer 2⁴ ?"/>
    <x v="4"/>
    <s v="C’est 2 x 2 x 2 x 2 soit 16 !"/>
    <s v="RDS"/>
    <n v="16"/>
    <m/>
  </r>
  <r>
    <n v="181"/>
    <s v="A quels préfixes correspondent 10⁶ et 10^-6 ? Donner les notations correspondantes"/>
    <x v="4"/>
    <s v="10⁶ correspond au méga noté M et 10-6 correspond au micro noté µ"/>
    <s v="QCM"/>
    <s v="10⁶ correspond au méga noté M et 10⁻⁶ correspond au micro noté µ.|10⁶ correspond au kilo noté k et 10⁻⁶ correspond au milli noté m.|10⁶ correspond au giga noté G et 10⁻⁶ correspond au nano noté n."/>
    <m/>
  </r>
  <r>
    <n v="182"/>
    <s v="A quels préfixes correspondent 10³ et 10^-3 ? Donner les notations correspondantes"/>
    <x v="4"/>
    <s v="10³ correspond au kilo noté k et 10^-3 correspond au milli noté m"/>
    <s v="QCM"/>
    <s v="10³ correspond au kilo noté k et 10⁻³ correspond au milli noté m.|10³ correspond au méga noté M et 10⁻³ correspond au micro noté µ.|10³ correspond au giga noté G et 10⁻³ correspond au nano noté n."/>
    <m/>
  </r>
  <r>
    <n v="183"/>
    <s v="A quels préfixes correspondent 10⁹ et 10^-9 ? Donner les notations correspondantes"/>
    <x v="4"/>
    <s v="10⁹ correspond au Giga noté G et 10^-9 correspond au nano noté n"/>
    <s v="QCM"/>
    <s v="10⁹ correspond au giga noté G et 10⁻⁹ correspond au nano noté n.|10⁹ correspond au méga noté M et 10⁻⁹ correspond au micro noté µ.|10⁹ correspond au kilo noté k et 10⁻⁹ correspond au milli noté m."/>
    <m/>
  </r>
  <r>
    <n v="184"/>
    <s v="Qu’est-ce qu’une écriture scientifique ?"/>
    <x v="4"/>
    <s v="C’est l’écriture sous la forme d’un produit d’un nombre compris entre 1 (inclus) et 10 (exclu) et d’une puissance de 10. Cette écriture est unique : a×10ⁿ"/>
    <s v="QCM"/>
    <s v="C’est l’écriture sous la forme d’un produit d’un nombre compris entre 1 (inclus) et 10 (exclu) et d’une puissance de 10.|C’est l’écriture d’un nombre avec une puissance de 10 uniquement.|C’est une forme d’écriture pour représenter les petits nombres."/>
    <m/>
  </r>
  <r>
    <n v="185"/>
    <s v="Énoncer la signification de tous les codages"/>
    <x v="4"/>
    <s v="Il y a 2 côtés de même longueur et 2 angles de même mesure."/>
    <s v="QCM"/>
    <s v="Il y a 2 côtés de même longueur et 2 angles de même mesure.|Les angles sont tous égaux.|Il y a 3 côtés de même longueur."/>
    <s v="oui"/>
  </r>
  <r>
    <n v="186"/>
    <s v="Énoncer la signification de tous les codages"/>
    <x v="4"/>
    <s v="NM = ML ; LK = KM  LNM = LMN"/>
    <s v="QCM"/>
    <s v="NM = ML ; LK = KM  LNM = LMN|NM = ML ; LK = KM  LNM = LMN|NM = NL ; LK = KM  LNM = LMN"/>
    <s v="oui"/>
  </r>
  <r>
    <n v="187"/>
    <s v="Énoncer la signification de tous les codages"/>
    <x v="4"/>
    <s v="EIF = HIG et FEI = IGF"/>
    <s v="QCM"/>
    <s v="EIF = HIG et FEI = IGF|EIF = FEI et FEI = HIG|EIF = HIG et EHG = EFG"/>
    <s v="oui"/>
  </r>
  <r>
    <n v="188"/>
    <s v="Énoncer la signification de tous les codages"/>
    <x v="4"/>
    <s v="KJ = 3 cm LM = KL ;  LKJ = KJM = 90°"/>
    <s v="QCM"/>
    <s v="KJ = 3 cm LM = KL ;  LKJ = KJM = 90°|KJ = 3 cm LM = KL ;  LKJ = KJM = 45°|KJ = 3 cm LM = KM ;  LKJ = KJM = 45°"/>
    <s v="oui"/>
  </r>
  <r>
    <n v="189"/>
    <s v="Énoncer la signification de tous les codages"/>
    <x v="4"/>
    <s v="HJ = 4 cm; HK = 2 cm M milieu de [LI] IK = 7 cm ; KHJ = NKL = NML = 90°"/>
    <s v="QCM"/>
    <s v="HJ = 4 cm; HK = 2 cm M milieu de [LI] IK = 7 cm ; KHJ = NKL = NML = 90°|HJ = 2 cm; HK = 4 cm M milieu de [LI] IK = 7 cm ; KHJ = NKL = NML = 45°|HK = 2 cm; HJ = 4 cm M milieu de [LK] IK = 7 cm ; KHJ = NKL = NML = 45°|"/>
    <s v="oui"/>
  </r>
  <r>
    <n v="190"/>
    <s v="Décrire par une phrase en employant les mots de vocabulaire qui conviennent la notation suivante : f(2) = 3"/>
    <x v="4"/>
    <s v="L’image de 2 par la fonction f est 3."/>
    <s v="QCM"/>
    <s v="L’image de 2 par la fonction f est 3.|La fonction f à l’origine 2 donne le résultat 3.|L’image de 3 par la fonction f est 2."/>
    <m/>
  </r>
  <r>
    <n v="191"/>
    <s v="Décrire par une phrase en employant les mots de vocabulaire qui conviennent la notation suivante : f(- 4) = 7"/>
    <x v="4"/>
    <s v="L’image de - 4 par la fonction f est 7."/>
    <s v="QCM"/>
    <s v="L’image de -4 par la fonction f est 7.|La fonction f à l’origine -4 donne le résultat 7.|L’image de 7 par la fonction f est -4."/>
    <m/>
  </r>
  <r>
    <n v="192"/>
    <s v="Décrire par une phrase en employant les mots de vocabulaire qui conviennent la notation suivante : h : - 5 → 12"/>
    <x v="4"/>
    <s v="L’image de - 5 par la fonction h est 12."/>
    <s v="QCM"/>
    <s v="L’image de -5 par la fonction h est 12.|La fonction h à l’origine -5 donne le résultat 12.|L’image de 12 par la fonction h est -5."/>
    <m/>
  </r>
  <r>
    <n v="193"/>
    <s v="Le lundi, à l’ouverture du magasin, un article de sport est vendu 60 €. Le mardi, son prix baisse de 30 %. Le mercredi, il remonte de 40 %. Quel est le dernier prix de l’article."/>
    <x v="0"/>
    <s v="60 x 0,7 x 1,4 = 58,8 € Le dernier prix est 58,8 €"/>
    <s v="RDS"/>
    <s v="58,8|58,8€"/>
    <m/>
  </r>
  <r>
    <n v="194"/>
    <s v="Un club de natation rassemble 600 licenciés : 240 femmes et 360 hommes. 40 % des femmes et 60 % des hommes font de la compétition. Quel est le pourcentage de licenciés qui font de la compétition ?"/>
    <x v="0"/>
    <s v="240 x 0,4 + 360 x 0,6 = 96 + 216 = 312 312 licenciés font de la compétition. 312 / 600 x 100 = 52 Il y a 52 % des licenciés qui font de la compétition"/>
    <s v="RDS"/>
    <s v="52|52%"/>
    <m/>
  </r>
  <r>
    <n v="195"/>
    <s v="Dans sa bibliothèque, Malo possède 80 livres et 60 bandes dessinées. Malo donne 30 % de ses livres et 45 % de ces BD à l’école. Quel pourcentage de sa bibliothèque Malo a-t-il donné ? arrondir à l’unité."/>
    <x v="0"/>
    <s v="80 x 0,3 + 60 x 0,45 = 24 + 27 = 51 Malo a donné 51 ouvrages. 51/ 140 x 100 ≈ 36,4 L’arrondi à l’unité est donc 36 %"/>
    <s v="RDS"/>
    <s v="36|36%"/>
    <m/>
  </r>
  <r>
    <n v="196"/>
    <s v="Le lundi, à l’ouverture du magasin, un article de sport est vendu 90 €. Le mardi, son prix augmente de 30 %. Le mercredi, il baisse de 30 %. Quel est le dernier prix de l’article ?"/>
    <x v="0"/>
    <s v="90 x 0,7 x 1,3 = 81,9 € Le dernier prix est 81,9 €"/>
    <s v="RDS"/>
    <s v="81,9|81,9€"/>
    <m/>
  </r>
  <r>
    <n v="197"/>
    <s v="Un club de tennis rassemble 800 licenciés : 270 femmes et 530 hommes. 30 % des femmes et 40 % des hommes font de la compétition. Quel est le pourcentage de licenciés qui font de la compétition ? arrondir à l’unité."/>
    <x v="0"/>
    <s v="270 x 0,3 + 530 x 0,4 = 81 + 212 = 293 licenciés font de la compétition. 293 / 800 x 100 = 36,625 Il y a 36,625 % des licenciés qui font de la compétition soit 37%"/>
    <s v="RDS"/>
    <s v="37|37%"/>
    <m/>
  </r>
  <r>
    <n v="198"/>
    <s v="Un club de gym rassemble 500 licenciés : 380 femmes et 120 hommes. 60 % des femmes et 80 % des hommes font de la compétition. Quel est le pourcentage de licenciés qui font de la compétition ? arrondir à l’unité."/>
    <x v="0"/>
    <s v="380 x 0,6 + 120 x 0,8 = 228 + 96 = 324 licenciés font de la compétition. 324 / 500 x 100 = 64,8 % Il y a 64,8 % des licenciés qui font de la compétition soit 65%"/>
    <s v="RDS"/>
    <s v="65|65%"/>
    <m/>
  </r>
  <r>
    <n v="199"/>
    <s v="Timothée souhaite acheter 2 pneus. Quelle est l’offre la plus avantageuse ? Offre A : - 25 % sur chaque pneu acheté. Offre B : - 50 % sur le second pneu acheté."/>
    <x v="0"/>
    <s v="Cela revient au même ! Soit y le prix du pneu Offre A : prix de 2 pneus = y x 0,75 x 2 = y x 1,5 Offre B : prix de 2 pneus = y + y x 0,5 = y x 1,5 C’est le même tarif !"/>
    <s v="QCM"/>
    <s v="Les deux offres sont identiques, elles reviennent au même prix total.|L'offre A est plus avantageuse, car elle réduit de 25 % le prix de chaque pneu.|L'offre B est plus avantageuse, car elle réduit de 50 % le prix du second pneu."/>
    <m/>
  </r>
  <r>
    <n v="200"/>
    <s v="Ambre souhaite acheter un blouson de ski affiché à 148,50 €. Il y a une promotion, elle ne paye finalement que 103,95€ Quel a été le pourcentage de remise de ce blouson ?"/>
    <x v="0"/>
    <s v="148,50 – 103,95 = 44,55 44,55 / 148,5 x 100 = 30 La remise a été de 30 %"/>
    <s v="RDS"/>
    <s v="30|30%"/>
    <m/>
  </r>
  <r>
    <n v="201"/>
    <s v="Le tableau suivant est-il un tableau de proportionnalité ? "/>
    <x v="0"/>
    <s v="15 : 5 = 3 20 : 10 = 2 Les quotients ne sont pas égaux donc NON"/>
    <s v="VF"/>
    <s v="F"/>
    <m/>
  </r>
  <r>
    <n v="202"/>
    <s v="Le tableau suivant est-il un tableau de proportionnalité ? "/>
    <x v="0"/>
    <s v="20 : 5 = 4 40 : 10 = 4 60 : 15 = 4 Les quotients sont tous égaux donc OUI."/>
    <s v="VF"/>
    <s v="V"/>
    <s v="oui"/>
  </r>
  <r>
    <n v="203"/>
    <s v="Le tableau suivant est-il un tableau de proportionnalité ? "/>
    <x v="0"/>
    <s v="4 : 1 = 4 22 : 5,5 = 4 Mais 11 x 4 = 44 et non 40 Ce n’est pas toujours le même coefficient de proportionnalité donc NON."/>
    <s v="VF"/>
    <s v="F"/>
    <s v="oui"/>
  </r>
  <r>
    <n v="204"/>
    <s v="Le tableau suivant est-il un tableau de proportionnalité ? "/>
    <x v="0"/>
    <s v="30 : 6 = 5 42 : 7 = 6 Les quotients ne sont pas tous égaux donc NON."/>
    <s v="VF"/>
    <s v="F"/>
    <s v="oui"/>
  </r>
  <r>
    <n v="205"/>
    <s v="Le tableau suivant est-il un tableau de proportionnalité ? "/>
    <x v="0"/>
    <s v="6 : 2 = 3 3 x 8,5 = 25,5 3 x 10,5 = 31,5 C’est toujours le même coefficient de proportionnalité donc OUI."/>
    <s v="VF"/>
    <s v="V"/>
    <s v="oui"/>
  </r>
  <r>
    <n v="206"/>
    <s v="Le tableau suivant est-il un tableau de proportionnalité ? "/>
    <x v="0"/>
    <s v="5,25 x 2 = 10,5 Mais 15,25 x 2 = 30,5 et non 30 ! Ce n’est pas toujours le même coefficient de proportionnalité donc NON."/>
    <s v="VF"/>
    <s v="F"/>
    <s v="oui"/>
  </r>
  <r>
    <n v="207"/>
    <s v="Le tableau suivant est-il un tableau de proportionnalité ?"/>
    <x v="0"/>
    <s v="2 x 3 = 6 3,4 x 3 = 10,2 2+6 = 8 et 3,4 + 10,2 = 13,6 Les propriétés d’additivité sont respectées donc OUI."/>
    <s v="VF"/>
    <s v="V"/>
    <s v="oui"/>
  </r>
  <r>
    <n v="208"/>
    <s v="Le tableau suivant est-il un tableau de proportionnalité ? "/>
    <x v="0"/>
    <s v="5 x 2 = 10 49 x 2 = 98 5 + 10 = 15 et 49 + 98 = 147 et non 137 Les propriétés d’additivité ne sont pas respectées donc NON."/>
    <s v="VF"/>
    <s v="F"/>
    <s v="oui"/>
  </r>
  <r>
    <n v="209"/>
    <s v="Compléter ce tableau de proportionnalité par les valeurs qui conviennent."/>
    <x v="0"/>
    <s v="a = 77 b= 9"/>
    <s v="RDS2"/>
    <s v="77| pour a et |9| pour b"/>
    <s v="oui"/>
  </r>
  <r>
    <n v="210"/>
    <s v="Compléter ce tableau de proportionnalité par les valeurs qui conviennent."/>
    <x v="0"/>
    <s v="a = 1,1 b= 65,5"/>
    <s v="RDS2"/>
    <s v="1,1| pour a et |65,5| pour b"/>
    <s v="oui"/>
  </r>
  <r>
    <n v="211"/>
    <s v="Compléter ce tableau de proportionnalité par les valeurs qui conviennent."/>
    <x v="0"/>
    <s v="a = 10,5 b= 12"/>
    <s v="RDS2"/>
    <s v="10,5| pour a et |12| pour b"/>
    <s v="oui"/>
  </r>
  <r>
    <n v="212"/>
    <s v="Compléter ce tableau de proportionnalité par les valeurs qui conviennent."/>
    <x v="0"/>
    <s v="a = 8 b= 1,2"/>
    <s v="RDS2"/>
    <s v="8| pour a et |1,2| pour b"/>
    <s v="oui"/>
  </r>
  <r>
    <n v="213"/>
    <s v="Compléter ce tableau de proportionnalité par les valeurs qui conviennent."/>
    <x v="0"/>
    <s v="a = 0,1 b= 140"/>
    <s v="RDS2"/>
    <s v="0,1| pour a et |140| pour b"/>
    <s v="oui"/>
  </r>
  <r>
    <n v="214"/>
    <s v="Compléter ce tableau de proportionnalité par les valeurs qui conviennent."/>
    <x v="0"/>
    <s v="a = 0,75 b= 15"/>
    <s v="RDS2"/>
    <s v="0,75| pour a et |15| pour b"/>
    <s v="oui"/>
  </r>
  <r>
    <n v="215"/>
    <s v="Compléter ce tableau de proportionnalité par les valeurs qui conviennent."/>
    <x v="0"/>
    <s v="a = 15 b= 43,2"/>
    <s v="RDS2"/>
    <s v="15| pour a et |43,2| pour b"/>
    <s v="oui"/>
  </r>
  <r>
    <n v="216"/>
    <s v="Compléter ce tableau de proportionnalité par les valeurs qui conviennent."/>
    <x v="0"/>
    <s v="a = 0,48 b= 10"/>
    <s v="RDS2"/>
    <s v="0,48| pour a et |10| pour b"/>
    <s v="oui"/>
  </r>
  <r>
    <n v="217"/>
    <s v="Donner l’opposé de 32"/>
    <x v="4"/>
    <n v="-32"/>
    <s v="RDS"/>
    <n v="-32"/>
    <s v="oui"/>
  </r>
  <r>
    <n v="218"/>
    <s v="Donner l’opposé de − 154"/>
    <x v="4"/>
    <n v="154"/>
    <s v="RDS"/>
    <n v="154"/>
    <m/>
  </r>
  <r>
    <n v="219"/>
    <s v="Donner l’opposé de l’inverse 7"/>
    <x v="4"/>
    <s v="−1/7 "/>
    <s v="RDS"/>
    <n v="-0.14285714285714285"/>
    <m/>
  </r>
  <r>
    <n v="220"/>
    <s v="Donner l’opposé de l’inverse −1/11"/>
    <x v="4"/>
    <n v="11"/>
    <s v="RDS"/>
    <n v="11"/>
    <m/>
  </r>
  <r>
    <n v="221"/>
    <s v="Donner l’inverse de 4"/>
    <x v="4"/>
    <s v="(1/4)"/>
    <s v="RDS"/>
    <s v="(1/4)"/>
    <m/>
  </r>
  <r>
    <n v="222"/>
    <s v="Donner l’inverse de −10/3"/>
    <x v="4"/>
    <n v="-0.3"/>
    <s v="RDS"/>
    <n v="-0.3"/>
    <m/>
  </r>
  <r>
    <n v="223"/>
    <s v="Donner l’inverse de l’opposé −9/8"/>
    <x v="4"/>
    <n v="-5.5555555999999999E-2"/>
    <s v="RDS"/>
    <n v="-5.5555555555555552E-2"/>
    <m/>
  </r>
  <r>
    <n v="224"/>
    <s v="Donner l’inverse de l’opposé 18"/>
    <x v="4"/>
    <s v="(08/09)"/>
    <s v="RDS"/>
    <s v="(8/9)"/>
    <m/>
  </r>
  <r>
    <n v="225"/>
    <s v="Que signifie que le plan est à l’échelle 1/100000 ?"/>
    <x v="0"/>
    <s v="1 cm sur le plan correspond à 100 000 cm en réalité"/>
    <s v="QCM"/>
    <s v="1 cm sur le plan correspond à 100 000 cm en réalité.|1 cm sur le plan correspond à 1 000 000 cm en réalité.|1 cm sur le plan correspond à 10 000 cm en réalité."/>
    <m/>
  </r>
  <r>
    <n v="226"/>
    <s v="Que signifie que le plan est à l’échelle 1/1000000 ?"/>
    <x v="0"/>
    <s v="1 cm sur le plan correspond à 1 000 000 cm en réalité"/>
    <s v="QCM"/>
    <s v="1 cm sur le plan correspond à 1 000 000 cm en réalité.|1 cm sur le plan correspond à 10 000 000 cm en réalité.|1 cm sur le plan correspond à 100 000 cm en réalité."/>
    <m/>
  </r>
  <r>
    <n v="227"/>
    <s v="Que signifie cette échelle ?"/>
    <x v="0"/>
    <s v="La taille réelle de ce lymphocyte est 2 200 fois plus petite."/>
    <s v="QCM"/>
    <s v="La taille du lymphocyte est 2 200 fois plus petite.|La taille du lymphocyte est agrandie 2 200 fois.|La taille du lymphocyte est 2 200 fois plus grande."/>
    <s v="oui"/>
  </r>
  <r>
    <n v="228"/>
    <s v="Que signifie cette échelle ?"/>
    <x v="0"/>
    <s v="La longueur du segment sur la photo correspond en réalité à 1 μm soit 10-6 m."/>
    <s v="QCM"/>
    <m/>
    <s v="oui"/>
  </r>
  <r>
    <n v="229"/>
    <s v="On a les données suivantes : Distance sur le plan : 7 cm Distance en réalité : 3,50 m Quelle est l’échelle de ce plan ?"/>
    <x v="0"/>
    <s v="3,50 m = 350 cm 7/350 = 1/50 L’échelle est 1 / 50"/>
    <s v="RDS"/>
    <d v="1950-01-01T00:00:00"/>
    <m/>
  </r>
  <r>
    <n v="230"/>
    <s v="Quelle serait la taille réelle du virus de la grippe si on a ces données ? taille du segment = 2,6 cm taille du virus sur la photo = 4,6 cm"/>
    <x v="0"/>
    <s v="Calcul de la taille réelle : 4,6 x 70 / 2,6 = 124 nm"/>
    <s v="RDS"/>
    <m/>
    <s v="oui"/>
  </r>
  <r>
    <n v="231"/>
    <s v="On a les données suivantes : Distance sur le plan : 4,5 cm Distance en réalité : 225 m Quelle est l’échelle de ce plan ?"/>
    <x v="0"/>
    <s v="225 m = 22 500 cm 4,5/22 500 = 1/5 000 L’échelle est 1 / 5 000"/>
    <s v="RDS"/>
    <d v="5000-01-01T00:00:00"/>
    <m/>
  </r>
  <r>
    <n v="232"/>
    <s v="On a les données suivantes : Distance sur la photo : 12 cm Distance en réalité : 0,04 mm Quelle est l’échelle de ce plan ?"/>
    <x v="0"/>
    <s v="12 cm = 120 mm 0,04 = 4 /100 mm 120 / 0,04 = 120 x 100/4 = 3 000 L’échelle est 3 000"/>
    <s v="RDS"/>
    <n v="3000"/>
    <m/>
  </r>
  <r>
    <n v="233"/>
    <s v="Réduire 7x×3+9+8x²−5x+6−7x²"/>
    <x v="5"/>
    <s v="x²+16x+15"/>
    <s v="RLD3"/>
    <s v="1|x²|16|x|15|"/>
    <m/>
  </r>
  <r>
    <n v="234"/>
    <s v="Réduire 8&quot;+10+6&quot;!−3&quot;+6+2&quot;!×4"/>
    <x v="5"/>
    <s v="14x²+5x+16"/>
    <s v="RLD3"/>
    <s v="14|x²|5|x|16|"/>
    <m/>
  </r>
  <r>
    <n v="235"/>
    <s v="Réduire 4x−8+9x²+7x−10×7+17x²"/>
    <x v="5"/>
    <s v="26x²+11x−78"/>
    <s v="RLD3"/>
    <s v="26|x²|11|x|-78|"/>
    <m/>
  </r>
  <r>
    <n v="236"/>
    <s v="Réduire −4x²+5x−11×6+9x²−15x"/>
    <x v="5"/>
    <s v="5x²−10x−66"/>
    <s v="RLD3"/>
    <s v="5|x²|-10|x|-66|"/>
    <m/>
  </r>
  <r>
    <n v="237"/>
    <s v="Développer et réduire 3x(4x−2)−5x²+7x+6"/>
    <x v="5"/>
    <s v="7x²+x+6"/>
    <s v="RLD3"/>
    <s v="7|x²|1|x|6|"/>
    <m/>
  </r>
  <r>
    <n v="238"/>
    <s v="Développer et réduire 5x(−x+7)−4x²+6x−18"/>
    <x v="5"/>
    <s v="−9x²+41x−18"/>
    <s v="RLD3"/>
    <s v="-9|x²|41|x|-18|"/>
    <m/>
  </r>
  <r>
    <n v="239"/>
    <s v="Développer et réduire 11(2x−3)−x²+7x−8"/>
    <x v="5"/>
    <s v="−x²+29x−41"/>
    <s v="RLD3"/>
    <s v="-9|x²|29|x|-41|"/>
    <m/>
  </r>
  <r>
    <n v="240"/>
    <s v="Développer et réduire −7(3x−9)−2(x²+7)−x+13"/>
    <x v="5"/>
    <s v="−2x²−22x+62"/>
    <s v="RLD3"/>
    <s v="-2|x²|-22|x|62|"/>
    <m/>
  </r>
  <r>
    <n v="241"/>
    <s v="Développer et réduire 8(−x+12)−3(2x²+10)−4x−1"/>
    <x v="5"/>
    <s v="−6x²−12x+65"/>
    <s v="RLD3"/>
    <s v="-6|x²|-12|x|65|"/>
    <m/>
  </r>
  <r>
    <n v="242"/>
    <s v="Développer et réduire 3(x+2/3)−(4x²+5x−6)−14x−9"/>
    <x v="5"/>
    <s v="−4x²−16x−1"/>
    <s v="RLD3"/>
    <s v="-4|x²|-16|x|-1|"/>
    <m/>
  </r>
  <r>
    <n v="243"/>
    <s v="Développer et réduire 5x−6−2x²−(7x−10)×3x+40"/>
    <x v="5"/>
    <s v="−23x²−25x+34"/>
    <s v="RLD3"/>
    <s v="-23|x²|-25|x|34|"/>
    <m/>
  </r>
  <r>
    <n v="244"/>
    <s v="Développer et réduire −6x²+5(2x−11)−3×6x+9(x²−x)"/>
    <x v="5"/>
    <s v="3x²−17x−55"/>
    <s v="RLD3"/>
    <s v="3|x²|-17|x|-55|"/>
    <m/>
  </r>
  <r>
    <n v="245"/>
    <s v="Développer et réduire (9x−8)(7x−3)"/>
    <x v="5"/>
    <s v="63x²−83x+35"/>
    <s v="RLD3"/>
    <s v="62|x²|-83|x|35|"/>
    <m/>
  </r>
  <r>
    <n v="246"/>
    <s v="Développer et réduire (−2x+7)(6x+5)"/>
    <x v="5"/>
    <s v="−12x²+32x+35"/>
    <s v="RLD3"/>
    <s v="-12|x²|32|x|35|"/>
    <m/>
  </r>
  <r>
    <n v="247"/>
    <s v="Développer et réduire (2x−1)(7x−3)"/>
    <x v="5"/>
    <s v="14x²−13x+3"/>
    <s v="RLD3"/>
    <s v="14|x²|-13|x|3|"/>
    <m/>
  </r>
  <r>
    <n v="248"/>
    <s v="Développer et réduire −7(3x−9)(10x+4)"/>
    <x v="5"/>
    <s v="−210x²+546x+252"/>
    <s v="RLD3"/>
    <s v="-210|x²|546|x|252|"/>
    <m/>
  </r>
  <r>
    <n v="249"/>
    <s v="Trouve le nombre qui complète cette suite logique. 1 ; 3 ; 7 ; 15 ; 31 ; 63 ; ?"/>
    <x v="6"/>
    <s v="C’est 127. L’écart est doublé entre chaque nombre +2 ; +4 ; +8 ; +16 ; +32 ; +64"/>
    <s v="RDS"/>
    <n v="127"/>
    <m/>
  </r>
  <r>
    <n v="250"/>
    <s v="Trouve le nombre qui complète cette suite logique. 2 ; 3 ; 6 ; 18 ; 108 ; ?"/>
    <x v="6"/>
    <s v="C’est 1 944. On multiplie les deux nombres précédents."/>
    <s v="RDS"/>
    <n v="1944"/>
    <m/>
  </r>
  <r>
    <n v="251"/>
    <s v="Trouve le nombre qui complète cette suite logique. 25 ; 36 ; 49 ; 64 ;81 ;100 ; ?"/>
    <x v="6"/>
    <s v="C’est 121. Ce sont les carrés de 5 ; 6 ; 7 ; 8 ; 9 ; 10 et 11"/>
    <s v="RDS"/>
    <n v="121"/>
    <m/>
  </r>
  <r>
    <n v="252"/>
    <s v="Un bœuf vaut 20 chèvres. Une chèvre vaut 5 poulets. Une souris vaut 13 œufs. Un poulet vaut 4 douzaines d’œufs. Combien d’œufs vaut 1 bœuf ?"/>
    <x v="6"/>
    <n v="4800"/>
    <s v="RDS"/>
    <n v="4800"/>
    <m/>
  </r>
  <r>
    <n v="253"/>
    <s v="Derrière une palissade, se cachent des lapins et des poules. On peut voir 54 pattes et 20 têtes. Combien y a –t-il de lapins et de poules ?"/>
    <x v="6"/>
    <s v="7 lapins et 13 poules ."/>
    <s v="RLD2"/>
    <s v="7|lapins|13|poules|"/>
    <m/>
  </r>
  <r>
    <n v="254"/>
    <s v="La prof de maths a été enlevée ! La police a trois suspects, deux mentent toujours et un seul dit toujours la vérité. Voici un extrait de l'interrogatoire : Ambre : « Timothée n'est pas un menteur » Timothée : « Je n'ai pas enlevé la prof.» Malo : « Ambre n'a pas enlevé la prof » Qui a enlevé la prof de maths ???"/>
    <x v="6"/>
    <s v="C’est Timothée le coupable."/>
    <s v="QCM"/>
    <s v="Timothée|Ambre|Malo"/>
    <m/>
  </r>
  <r>
    <n v="255"/>
    <s v="Laquelle de ces cinq formes proposées ne permet pas de compléter l’assemblage pour obtenir un pavé droit ?"/>
    <x v="6"/>
    <s v="C’est la D."/>
    <s v="QCM"/>
    <s v="D|A|B|C|E"/>
    <s v="oui"/>
  </r>
  <r>
    <n v="256"/>
    <s v="On commande à une entreprise cent plaques de rue numérotées de 1 à 100. Combien de fois le chiffre 5 apparaîtra?"/>
    <x v="6"/>
    <s v="Le chiffre 5 apparaît 20 fois."/>
    <s v="RDS"/>
    <s v="20|20 fois"/>
    <m/>
  </r>
  <r>
    <n v="257"/>
    <s v="Chez Roland, les raquettes et les balles s’achètent en « Nadales ». 50 Nadales = 1 balle et 1 raquette 120 Nadales =  3 balles et 2 raquettes Combien de Nadales coûte une balle ?"/>
    <x v="6"/>
    <s v="1 balle coûte 20 Nadales."/>
    <s v="RDS"/>
    <s v="20|20 Nadales"/>
    <m/>
  </r>
  <r>
    <n v="258"/>
    <s v="Remplacer les points d’interrogation par les valeurs manquantes :"/>
    <x v="6"/>
    <s v="1 et 2"/>
    <s v="QCM"/>
    <m/>
    <s v="oui"/>
  </r>
  <r>
    <n v="259"/>
    <s v="Quelle est la mesure de l’angle formé par les aiguilles ?"/>
    <x v="6"/>
    <s v="La mesure de l’angle formé par les 2 aiguilles est 120°"/>
    <s v="RDS"/>
    <s v="120|120°"/>
    <s v="oui"/>
  </r>
  <r>
    <n v="260"/>
    <s v="On forme la figure A en posant côte à côte 3 bandes de papier de 4 cm de large. Chaque bande dépasse la précédente de 25 cm. On forme la figure B en changeant l’ordre des bandes. De combien le périmètre de B dépasse-t-il celui de A ?"/>
    <x v="6"/>
    <s v="Le périmètre de B dépasse de 50 cm."/>
    <s v="RDS"/>
    <s v="50|50 cm"/>
    <s v="oui"/>
  </r>
  <r>
    <n v="261"/>
    <s v="76 personnes passent par des chemins dessinés ci-contre. Quand un chemin se divise en deux, on sait que le groupe de personnes arrivant se partage équitablement en deux. Combien de personnes vont arriver au stand A ?"/>
    <x v="6"/>
    <s v="Il y aura 57 personnes au stand A."/>
    <s v="RDS"/>
    <s v="57|57 personnes"/>
    <s v="oui"/>
  </r>
  <r>
    <n v="262"/>
    <s v="3 × 2023 = 2019 + 2029 + coeur alors coeur = ???"/>
    <x v="6"/>
    <n v="2021"/>
    <s v="RDS"/>
    <n v="2021"/>
    <m/>
  </r>
  <r>
    <n v="263"/>
    <s v="Les sommets du petit carré se trouvent au milieu des côtés du grand carré. L’aire du petit carré est de 49 m², quelle est l’aire du grand carré ?"/>
    <x v="6"/>
    <s v="L’aire 98 cm2"/>
    <s v="RDS"/>
    <s v="98|98 cm²| 98 cm2|98 cm^2"/>
    <s v="oui"/>
  </r>
  <r>
    <n v="264"/>
    <s v="Ma montre digitale vient juste d’afficher 12 :43. Dans combien de minutes verrai-je pour la première fois les mêmes quatre chiffres (pas forcément dans le même ordre) à l’affichage ?"/>
    <x v="6"/>
    <s v="Dans 41 minutes"/>
    <s v="RDS"/>
    <s v="41|41 min|41 minutes"/>
    <m/>
  </r>
  <r>
    <n v="265"/>
    <s v="Les cinq signes représentent cinq chiffres différents. Que représente le signe φ ? δ + δ + δ = ξ σ + σ + σ = β ξ + β = φ"/>
    <x v="6"/>
    <s v="C’est 9"/>
    <s v="RDS"/>
    <n v="9"/>
    <m/>
  </r>
  <r>
    <n v="266"/>
    <s v="La figure ci-contre montre un pentagone étoilé. Quatre angles sont marqués. Si !&quot; = 110°, # $ = 92° et % = 57°, combien mesure l’angle '&quot;?"/>
    <x v="6"/>
    <s v="C’est 39 °"/>
    <s v="RDS"/>
    <s v="39|39°"/>
    <s v="oui"/>
  </r>
  <r>
    <n v="267"/>
    <s v="Combien vaut la fraction (2023 + 2023 +2023 +2023 - 2023)/2023 +2023 "/>
    <x v="6"/>
    <s v="Elle vaut 3/2"/>
    <s v="RDS"/>
    <s v="(3/2)"/>
    <m/>
  </r>
  <r>
    <n v="268"/>
    <s v="Un homard vaut 30 langoustes. Une araignée vaut 10 bigorneaux. Une langouste vaut 7 gambas. Une gambas vaut 5 douzaines d’huitres. Combien d’huitres vaut un homard ?"/>
    <x v="6"/>
    <s v="C’est 12 600 huîtres."/>
    <s v="RDS"/>
    <s v="12600|12600 huîtres|12600 huitres"/>
    <m/>
  </r>
  <r>
    <n v="269"/>
    <s v="Ma montre digitale vient juste d’afficher 10 : 53. Dans combien de minutes verrai-je pour la première fois les mêmes quatre chiffres (pas forcément dans le même ordre) à l’affichage ?"/>
    <x v="6"/>
    <s v="Dans 132 minutes"/>
    <s v="RDS"/>
    <s v="132|132 min | 132 minutes"/>
    <m/>
  </r>
  <r>
    <n v="270"/>
    <s v="2 poussins marchent devant 1 poussin. 2 poussins marchent derrière 1 poussin. 1 poussin est au milieu. Combien y a-t-il de poussins ?"/>
    <x v="6"/>
    <s v="Il y a 3 poussins"/>
    <s v="RDS"/>
    <s v="3|3 poussins"/>
    <m/>
  </r>
  <r>
    <n v="271"/>
    <s v="Quel est l’intrus ? "/>
    <x v="6"/>
    <s v="C’est le c/ car ce n’est pas une perspective cavalière d’un solide."/>
    <s v="QCM"/>
    <s v="c|a|b|d|e"/>
    <s v="oui"/>
  </r>
  <r>
    <n v="272"/>
    <s v="Un tournoi de tennis entre 12 joueurs est organisé. Le principe est l’élimination directe : un joueur qui a perdu un match ne peut participer à d’autres matchs. Quel est le nombre de parties jouées ?"/>
    <x v="6"/>
    <s v="Il y aura 11 matchs."/>
    <s v="RDS"/>
    <s v="11|11 matchs"/>
    <m/>
  </r>
  <r>
    <n v="273"/>
    <s v="Harry, Hermione et Ron jettent des sorts (Endoloris, Stupéfix et Incendio) dans 3 lieux différents (Poudlard, chaudron baveur et terrain de Quidditch). L’un d’eux jette le sort Incendio dans Poudlard. Une heure plus tard, Hermione s’exerce dans le chaudron baveur. Pendant ce temps, Ron envoie stupéfix. Retrouve le prénom, le sort et le lieu correspondant à chacun."/>
    <x v="6"/>
    <s v="Harry avec le sort Incendio à Poudlard Hermione avec le sort Endoloris au chaudron baveur. Ron avec Stupéfix au terrain de Quidditch."/>
    <s v="QCM"/>
    <s v="Harry avec Incendio à Poudlard, Hermione avec Endoloris au Chaudron Baveur, Ron avec Stupéfix au terrain de Quidditch.|Harry avec Stupéfix au terrain de Quidditch, Hermione avec Incendio à Poudlard, Ron avec Endoloris au Chaudron Baveur.|Harry avec Endoloris au terrain de Quidditch, Hermione avec Incendio au Chaudron Baveur, Ron avec Stupéfix à Poudlard."/>
    <m/>
  </r>
  <r>
    <n v="274"/>
    <s v="Salla a 3 ans de plus que Valentine qui a elle-même 3 ans de moins que Joe et 3 ans de plus que Ambre. Ambre a 4 ans de moins que Huguette. Quelles sont les 2 personnes qui ont 1 an d’écart ?"/>
    <x v="6"/>
    <s v="Ce sont Salla et Huguette."/>
    <s v="QCM"/>
    <s v="Salla et Huguette|Ambre et Salla|Joe et Valentine"/>
    <m/>
  </r>
  <r>
    <n v="275"/>
    <s v="Voici le patron d’un solide, combien a-t-il d’arêtes ?"/>
    <x v="6"/>
    <s v="Il y a 15 arêtes."/>
    <s v="RDS"/>
    <s v="15|15 arêtes|15 aretes"/>
    <s v="oui"/>
  </r>
  <r>
    <n v="276"/>
    <s v="Combien d’heures font dix trois quarts d’heure ?"/>
    <x v="6"/>
    <s v="10 x ¾ = 7,5 h"/>
    <s v="RDS"/>
    <s v="7,5|7,5h"/>
    <m/>
  </r>
  <r>
    <n v="277"/>
    <s v="Sachant que A ∈ [LM] et que OMA= 30°. Quelle est la mesure de l’angle LOA ?"/>
    <x v="6"/>
    <s v="OMA=OLM= 30° et MOA=OAM= (180-30)/2 = 75° OAL=180−75=105° LOA= 180 – 105 – 30= 45°"/>
    <s v="RDS"/>
    <s v="45|45°"/>
    <s v="oui"/>
  </r>
  <r>
    <n v="278"/>
    <s v="2134' 2 chiffres corrects mais pas à la bonne place '9826' 1 chiffre correct et à la bonne place '7059' 2 chiffres sont corrects, 1 à la bonne place.' 6427' Aucun chiffre n’est correct '5813' 2 chiffres corrects et à la bonne place. Quel ce nombre mystérieux ?"/>
    <x v="6"/>
    <n v="9013"/>
    <s v="RDS"/>
    <n v="9013"/>
    <m/>
  </r>
  <r>
    <n v="279"/>
    <s v="Trouve le nombre qui complète cette suite logique. 1 3 ; 1 ; 5 3 ; ?"/>
    <x v="6"/>
    <s v="(7/3)"/>
    <s v="RDS"/>
    <s v="(7/3)"/>
    <m/>
  </r>
  <r>
    <n v="280"/>
    <s v="Dans ce cadre carré se trouve des carrés gris. Quel est le pourcentage de noir dans ce cadre ?"/>
    <x v="6"/>
    <n v="0.32"/>
    <s v="RDS"/>
    <s v="32|32%"/>
    <s v="oui"/>
  </r>
  <r>
    <n v="281"/>
    <s v="image"/>
    <x v="7"/>
    <n v="41"/>
    <s v="RDS"/>
    <n v="41"/>
    <s v="oui"/>
  </r>
  <r>
    <n v="282"/>
    <s v="Les 24 stylos de Ambre sont de 3 sortes : les feutres, les surligneurs et les pastels. Trois quarts ne sont pas des feutres et deux tiers ne sont pas des pastels. Combien Ambre a -t-elle de surligneurs ?"/>
    <x v="7"/>
    <s v="10 surligneurs"/>
    <s v="RDS"/>
    <s v="10|10 surligneurs"/>
    <m/>
  </r>
  <r>
    <n v="283"/>
    <s v="Donne l’écriture décimale de 2×10²+10¹+10^-1+2×10^-3"/>
    <x v="7"/>
    <n v="210.102"/>
    <s v="RDS"/>
    <n v="210.102"/>
    <m/>
  </r>
  <r>
    <n v="284"/>
    <s v="(1−1/4)(1−2/4)(1−3/4)(1−4/4)(1+1/4)(1+2/4)(1+3/4)(1+4/4)"/>
    <x v="7"/>
    <n v="0"/>
    <s v="RDS"/>
    <n v="0"/>
    <m/>
  </r>
  <r>
    <n v="285"/>
    <s v="Calculer 4x²+7 pour x = -1"/>
    <x v="7"/>
    <s v="4×(−1)²+7=22"/>
    <s v="RDS"/>
    <n v="22"/>
    <m/>
  </r>
  <r>
    <n v="286"/>
    <s v="Calculer −5 &quot;−2 pour x = -2"/>
    <x v="7"/>
    <s v="−5 ×(−2)−2=8"/>
    <s v="RDS"/>
    <n v="8"/>
    <m/>
  </r>
  <r>
    <n v="287"/>
    <s v="9 + 4,5 × (−2)"/>
    <x v="7"/>
    <n v="0"/>
    <s v="RDS"/>
    <n v="0"/>
    <m/>
  </r>
  <r>
    <n v="288"/>
    <s v="(−5)²+6×(−4)"/>
    <x v="7"/>
    <s v="25 – 24 = 1"/>
    <s v="RDS"/>
    <n v="1"/>
    <m/>
  </r>
  <r>
    <n v="289"/>
    <s v="Qu’est-ce que l’effectif d’une valeur dans une série statistique ?"/>
    <x v="8"/>
    <s v="C’est le nombre de fois où la valeur apparaît dans la série."/>
    <s v="QCM"/>
    <s v="C’est le nombre de fois où la valeur apparaît dans la série.|C’est la différence entre les valeurs maximum et minimum.|C’est la somme des valeurs dans la série."/>
    <m/>
  </r>
  <r>
    <n v="290"/>
    <s v="Comment calcule-t-on la fréquence d’une valeur dans une série statistique ?"/>
    <x v="8"/>
    <s v="On divise l’effectif de la valeur par l’effectif total."/>
    <s v="QCM"/>
    <s v="On divise l’effectif de la valeur par l’effectif total.|On soustrait l’effectif de la valeur à l’effectif total.|On multiplie l’effectif de la valeur par l’effectif total."/>
    <m/>
  </r>
  <r>
    <n v="291"/>
    <s v="Comment calcule-t-on la moyenne d’une série statistique ?"/>
    <x v="8"/>
    <s v="On additionne toutes les valeurs (y compris si la même valeur apparaît plusieurs fois) et on divise cette somme par l’effectif total."/>
    <s v="QCM"/>
    <s v="On additionne toutes les valeurs (y compris si la même valeur apparaît plusieurs fois) et on divise par l’effectif total.|On additionne toutes les valeurs et on divise par le nombre de valeurs distinctes.|On prend la valeur centrale de la série."/>
    <m/>
  </r>
  <r>
    <n v="292"/>
    <s v="Voici la série de notes sur 15 d’un élève : 15 ; 12 ; 3 ; 14 ; 5 ; 11 ; 10. Quelle est la moyenne de ses notes ? Que signifie cette moyenne ?"/>
    <x v="8"/>
    <s v="La moyenne est 10/15. S’il avait obtenu la même note à chaque fois, il aurait eu 10/15."/>
    <s v="RDS"/>
    <s v="10/15|10"/>
    <m/>
  </r>
  <r>
    <n v="293"/>
    <s v="Comment détermine-t-on la médiane d’une série statistique ?"/>
    <x v="8"/>
    <s v="On classe les valeurs dans l’ordre croissant. Si l’effectif est impair, on prend la valeur centrale. Si l’effectif est pair, on fait la moyenne des 2 valeurs centrales."/>
    <s v="QCM"/>
    <s v="On classe les valeurs dans l’ordre croissant, puis on prend la valeur centrale si l’effectif est impair, ou la moyenne des deux valeurs centrales si l’effectif est pair.|On classe les valeurs dans l’ordre décroissant, puis on prend la valeur centrale si l’effectif est pair, ou la moyenne des deux valeurs centrales si l’effectif est impair.|On classe les valeurs dans l’ordre croissant, puis on prend la première valeur si l’effectif est impair et la dernière valeur si l’effectif est pair."/>
    <m/>
  </r>
  <r>
    <n v="294"/>
    <s v="Voici la série de notes sur 15 d’un élève : 15 ; 12 ; 3 ; 14 ; 5 ; 11 ; 10. Quelle est la médiane de ses notes ?"/>
    <x v="8"/>
    <s v="On classe dans l’ordre croissant : 3 ; 5 ; 10 ; 11 ; 12 ; 14 ; 15 La médiane est 11/15 Il a autant de notes qui sont inférieures ou égales à 11/15 que de notes qui sont supérieures ou égales à 11/15"/>
    <s v="RDS"/>
    <s v="11|11/15"/>
    <m/>
  </r>
  <r>
    <n v="295"/>
    <s v="Voici la répartition des âges des membres d’un club de voile juniors. Quel est l’âge médian des membres ?"/>
    <x v="8"/>
    <s v="On classe dans l’ordre croissant les âges en tenant compte de l’effectif de chaque âge. L’effectif total est 50, on prend la 25è valeur et la 26 è valeur soit 14 ans et 16 ans. La moyenne de ces 2 âges est donc 15 ans. La médiane est donc 15 ans. Interprétation : Il y autant de membres de 15 ans ou moins que de membres de 15 ans ou plus."/>
    <s v="RDS"/>
    <s v="15|15 ans"/>
    <s v="oui"/>
  </r>
  <r>
    <n v="296"/>
    <s v="Voici la répartition des âges des membres d’un club de voile juniors. Quel est l’âge moyen des membres ?"/>
    <x v="8"/>
    <s v="13×6+15×5+16×10+18×14+19×15 / 50 =850  / 50 =17 L’âge moyen est 17 ans."/>
    <s v="RDS"/>
    <s v="17|17 ans"/>
    <s v="oui"/>
  </r>
  <r>
    <n v="297"/>
    <s v="Qu’est-ce que l’étendue d’une série ?"/>
    <x v="8"/>
    <s v="C’est la différence entre la valeur maximale et la valeur minimale de la série."/>
    <s v="QCM"/>
    <s v="C’est la différence entre la valeur maximale et la valeur minimale de la série.|C’est la somme de la valeur maximale et de la valeur minimale de la série.|C’est le rapport entre la valeur maximale et la valeur minimale de la série."/>
    <m/>
  </r>
  <r>
    <n v="298"/>
    <s v="Voici des températures relevées en degrés Celsius: 13°C ; 21°C ; 19°C ; 18°C ; 27°C et 15°C Quelle est l’étendue de cette série ?"/>
    <x v="8"/>
    <s v="27 – 13 = 14 L’étendue est 14 °C"/>
    <s v="RDS"/>
    <s v="14|14°C"/>
    <m/>
  </r>
  <r>
    <n v="299"/>
    <s v="Voici des températures relevées en degrés Celsius: 13°C ; 21°C ; 19°C ; 18°C ; 27°C et 15°C Quelle est la température médiane de ces relevés ?"/>
    <x v="8"/>
    <s v="On classe dans l’ordre croissant : 13 ; 15 ; 18 ; 19 ; 21 ; 27 (18+19) /2 = 18,5 La médiane est 18,5°C"/>
    <s v="RDS"/>
    <s v="18,5°C|18,5"/>
    <m/>
  </r>
  <r>
    <n v="300"/>
    <s v="Voici des températures relevées en degrés Celsius: 13°C ; 21°C ; 19°C ; 18°C ; 28°C et 15°C Quelle est la température moyenne de ces relevés ?"/>
    <x v="8"/>
    <s v="13+15+18+19+21+28 / 6 =114 / 6 =19 La température moyenne est 19°C."/>
    <s v="RDS"/>
    <s v="19|19°C"/>
    <m/>
  </r>
  <r>
    <n v="301"/>
    <s v="Toutes les notes d’Eléonore sont comprises entre 8 et 12, sa moyenne est… a/ 12 b/ 4 c/ 10 d/ Comprise entre 8 et 12"/>
    <x v="8"/>
    <s v="Réponse d/ comprise entre 8 et 12"/>
    <s v="QCM"/>
    <s v="d|a|b|c"/>
    <m/>
  </r>
  <r>
    <n v="302"/>
    <s v="Vrai ou faux ? « Si on ajoute 5 à chaque valeur d’une série, alors son étendue augmente de 5 »."/>
    <x v="8"/>
    <s v="Faux, l’étendue reste identique"/>
    <s v="VF"/>
    <s v="F"/>
    <m/>
  </r>
  <r>
    <n v="303"/>
    <s v="Vrai ou faux ? « Si on ajoute 5 à chaque valeur d’une série, alors sa moyenne augmente de 5 »."/>
    <x v="8"/>
    <b v="1"/>
    <s v="VF"/>
    <s v="V"/>
    <m/>
  </r>
  <r>
    <n v="304"/>
    <s v="Vrai ou faux ? « Si on ajoute 5 à chaque valeur d’une série, alors sa médiane augmente de 5 »."/>
    <x v="8"/>
    <b v="1"/>
    <s v="VF"/>
    <s v="V"/>
    <m/>
  </r>
  <r>
    <n v="305"/>
    <s v="Maël a reçu 4 notes en anglais lors de ce trimestre : 11/20 (coefficient 2); 14/20 (coefficient 1); 12/20 (coefficient 2) et 17/20 (coefficient 3) Quelle est sa moyenne trimestrielle en anglais ?"/>
    <x v="8"/>
    <s v="Sa moyenne est 13,875 Le total des coefficients donne : 2+1+2+3 = 8 (C’est comme si Maël avait reçu 8 notes) 11 x 2 + 14 x 1 + 12 x 2 + 17 x 3 = 111 Il a eu en tout 111 points. La moyenne est donc 111/8 = 13,875."/>
    <s v="RDS"/>
    <s v="13,875|13,875/20"/>
    <m/>
  </r>
  <r>
    <n v="306"/>
    <s v="Trouver la valeur manquante dans cette série pour que la médiane soit 10 : 15 ; ? ; 8 ; 11 ; 20 ; 6"/>
    <x v="8"/>
    <s v="La valeur manquante est 9. Classons dans l’ordre croissant : 6 ; 8 ; 11 ; 15 ; 20 pour l’instant la médiane est 11 plaçons 9 et la médiane devient 10."/>
    <s v="RDS"/>
    <n v="9"/>
    <m/>
  </r>
  <r>
    <n v="307"/>
    <s v="Pour un spectacle de gym, l’entrée est payante suivant 3 catégories d’âge les moins de 10 ans, les 11 à 18 ans et les adultes. Quel est le prix moyen d’une entrée ?"/>
    <x v="8"/>
    <s v="2×60+4×40+5×10 / 110 =330 / 110=3 Le prix moyen d’une entrée est 3 €"/>
    <s v="RDS"/>
    <s v="3|3 €"/>
    <s v="oui"/>
  </r>
  <r>
    <n v="308"/>
    <s v="Pour un spectacle de gym, l’entrée est payante suivant 3 catégories d’âge les moins de 10 ans, les 11 à 18 ans et les adultes. Quel est le prix médian d’une entrée ?"/>
    <x v="8"/>
    <s v="Il y a 110 entrées : 60 à 2 € ; 40 à 4 € et 10 à 5 € On prend la 55è valeur et la 56è valeur soit 2 € Le prix médian est 2 €"/>
    <s v="RDS"/>
    <s v="2|2€"/>
    <s v="oui"/>
  </r>
  <r>
    <n v="309"/>
    <s v="Pour un spectacle de gym, l’entrée est payante suivant 3 catégories d’âge les moins de 10 ans, les 11 à 18 ans et les adultes. Quelle est l’étendue du tarif des entrées ? "/>
    <x v="8"/>
    <s v="5 – 2 = 3 L’étendue des tarifs est 3 €"/>
    <s v="RDS"/>
    <s v="3|3€"/>
    <s v="oui"/>
  </r>
  <r>
    <n v="310"/>
    <s v="Dans ce tableur d’effectifs, quelle formule faut il saisir pour obtenir l’effectif total dans D1 ?"/>
    <x v="8"/>
    <s v="= SOMME (A1 :C1) ou =A1 + B1 + C1"/>
    <s v="QCM"/>
    <s v="D1= SOMME (A1 : C1) ou = A1 + B1 + C1|D1= MOYENNE (A1 : C1) ou = A1 / B1 / C1|D1= MOYENNE (A1 : C1) ou = A1 + B1 + C1"/>
    <s v="oui"/>
  </r>
  <r>
    <n v="311"/>
    <s v="Trouver la valeur manquante dans cette série pour que l’étendue soit 10 : 15 ; ? ; 8 ; 11 ; 20 ; 6"/>
    <x v="8"/>
    <s v="6 + 10 = 16 C’est 16"/>
    <s v="RDS"/>
    <n v="16"/>
    <m/>
  </r>
  <r>
    <n v="312"/>
    <s v="Trouver la valeur manquante dans cette série pour que la moyenne soit 13 : 15 ; ? ; 8 ; 11 ; 20 ; 6"/>
    <x v="8"/>
    <s v="60 + ? = 13 x 6 = 7 ! ? = 18 La note manquante est 18"/>
    <s v="RDS"/>
    <n v="18"/>
    <m/>
  </r>
  <r>
    <n v="313"/>
    <s v="Dans une entreprise les salaires ont augmenté de 5%. Soit ! le salaire d’une personne avant l’augmentation. Exprimer le nouveau salaire N en fonction de !. Est-ce une situation de proportionnalité ? (Si oui, donner son coefficient de proportionnalité)"/>
    <x v="0"/>
    <s v="N(x) = 1,05 x C’est une situation de proportionnalité, son coefficient est 1,05"/>
    <s v="VFRDS"/>
    <s v="V|1,05"/>
    <m/>
  </r>
  <r>
    <n v="314"/>
    <s v="Pendant les soldes, un magasin vend tous ses articles avec 40 % de remise. Soit ! le prix d’un article avant la réduction. Exprimer le nouveau tarif T en fonction de !. Est-ce une situation de proportionnalité ? (Si oui, donner son coefficient de proportionnalité)"/>
    <x v="0"/>
    <s v="T(x) = 0,6 x C’est une situation de proportionnalité, son coefficient est 0,4"/>
    <s v="VFRDS"/>
    <s v="V|0,4"/>
    <m/>
  </r>
  <r>
    <n v="315"/>
    <s v="Un magasin propose une réduction sur chacun de ses articles de 10 €. Soit ! le prix d’un article avant la réduction. Exprimer le nouveau tarif T en fonction de !. Est-ce une situation de proportionnalité ? (Si oui, donner son coefficient de proportionnalité)"/>
    <x v="0"/>
    <s v="T(x) = x - 10 Ce n’est pas une situation de proportionnalité"/>
    <s v="VFRDS"/>
    <s v="F"/>
    <m/>
  </r>
  <r>
    <n v="316"/>
    <s v="Des parents décident d’augmenter de 2 € chaque mois l’argent de poche de leur enfant. Soit ! le montant de l’argent de poche du mois en cours. Exprimer le montant M de l’argent de poche du mois suivant en fonction de !. Est-ce une situation de proportionnalité ? (Si oui, donner son coefficient de proportionnalité)"/>
    <x v="0"/>
    <s v="M(x) = x +2 Ce n’est pas une situation de proportionnalité"/>
    <s v="VFRDS"/>
    <s v="F"/>
    <m/>
  </r>
  <r>
    <n v="317"/>
    <s v="La température en degré Fahrenheit (°F) est obtenue en multipliant par 1,8 la température exprimée en degré Celsius (°C) puis en ajoutant 32. Soit ! la température exprimée en degré Celsius. Exprimer la température T en degré Fahrenheit en fonction de !. Est-ce une situation de proportionnalité ? (Si oui, donner son coefficient de proportionnalité)"/>
    <x v="0"/>
    <s v="T(x) = 1,8 x + 32 Ce n’est pas une situation de proportionnalité"/>
    <s v="VFRDS"/>
    <s v="F"/>
    <m/>
  </r>
  <r>
    <n v="318"/>
    <s v="Un cinéma propose une carte annuelle avec une cotisation de 7 € puis 4 € par séance. Soit ! le nombre de places de cinéma achetées pendant l’année. Exprimer la dépense annuelle D en fonction de !. Est-ce une situation de proportionnalité ? (Si oui, donner son coefficient de proportionnalité)"/>
    <x v="0"/>
    <s v="D(x) = 4 x + 7 Ce n’est pas une situation de proportionnalité"/>
    <s v="VFRDS"/>
    <s v="F"/>
    <m/>
  </r>
  <r>
    <n v="319"/>
    <s v="Le fer à repasser de Joé a une puissance de 2 300 Watts. Exprimer l’énergie E consommée en Wh en fonction du temps de son utilisation ! en heures. Est-ce une situation de proportionnalité ? (Si oui, donner son coefficient de proportionnalité)"/>
    <x v="0"/>
    <s v="D(x) = 2 300 x C’est une situation de proportionnalité, son coefficient est 2 300"/>
    <s v="VFRDS"/>
    <s v="V|2300"/>
    <m/>
  </r>
  <r>
    <n v="320"/>
    <s v="Une toile rectangulaire d’un peintre a été agrandie par 5. Exprimer l’aire A de la toile agrandie en fonction de l’aire de la toile initiale !. Est-ce une situation de proportionnalité ? (Si oui, donner son coefficient de proportionnalité)"/>
    <x v="0"/>
    <s v="D(x) = 25 x C’est une situation de proportionnalité, son coefficient est 25"/>
    <s v="VFRDS"/>
    <s v="V|25"/>
    <m/>
  </r>
  <r>
    <n v="321"/>
    <s v="Parmi les nombres suivants, lesquels ne peuvent pas représenter une probabilité ? 0,8 ; 15/4 ; 13 ; - 0,5 ; 75/100 ; 1,2"/>
    <x v="8"/>
    <s v="Une probabilité est comprise entre 0 et 1 Donc 15/4 ; 13 ; -0,5 ; 1,2 ne sont pas des probabilités."/>
    <s v="RCV"/>
    <s v="15/4|13|-0,5|1,2"/>
    <m/>
  </r>
  <r>
    <n v="322"/>
    <s v="Un dé numéroté de 1 à 6 est lancé. Quelles sont les issues possibles ?"/>
    <x v="8"/>
    <s v="1 ; 2 ; 3 ; 4. 5 ; et 6"/>
    <s v="RCV"/>
    <s v="1[2|3|4|5|6"/>
    <m/>
  </r>
  <r>
    <n v="323"/>
    <s v="Qu’est-ce qu’une situation d’équiprobabilité ?"/>
    <x v="8"/>
    <s v="Lorsque toutes les issues ont la même probabilité"/>
    <s v="QCM"/>
    <s v="Lorsque toutes les issues ont la même probabilité.|Lorsque toutes les issues ont des probabilités égales ou supérieures à 1.|Lorsque les probabilités des issues sont inverses les unes des autres."/>
    <m/>
  </r>
  <r>
    <n v="324"/>
    <s v="Qu’est-ce qu’un évènement certain ?"/>
    <x v="8"/>
    <s v="C’est un évènement qui est sûr de se réaliser. Sa probabilité est 1."/>
    <s v="QCM"/>
    <s v="C’est un évènement qui est sûr de se réaliser. Sa probabilité est 1.|C’est un évènement qui est sûr de se réaliser, sa probabilité est de 0.|C’est un évènement qui a plus de chances de se réaliser que les autres."/>
    <m/>
  </r>
  <r>
    <n v="325"/>
    <s v="Qu’est-ce qu’un évènement impossible ?"/>
    <x v="8"/>
    <s v="C’est un évènement qui est sûr de ne pas se réaliser. Sa probabilité est 0."/>
    <s v="QCM"/>
    <s v="’est un évènement qui est sûr de ne pas se réaliser. Sa probabilité est 0.|C’est un évènement qui a très peu de chances de se réaliser.|C’est un évènement qui a une probabilité inférieure à 0."/>
    <m/>
  </r>
  <r>
    <n v="326"/>
    <s v="Lors d’un lancer de dé numéroté de 1 à 6 Soit A l’évènement « obtenir un nombre pair ». Quel est son évènement contraire ?"/>
    <x v="8"/>
    <s v="« Obtenir un nombre impair »"/>
    <s v="QCM"/>
    <s v="« Obtenir un nombre impair ».|« Obtenir un nombre pair et un impair ».|« obtenir un nombre pair »"/>
    <m/>
  </r>
  <r>
    <n v="327"/>
    <s v="Lors d’un lancer de dé numéroté de 1 à 6 Soit A l’évènement « obtenir un nombre pair ». Soit B l’évènement « obtenir 3 ». Que peut-on dire de ces 2 évènements ?"/>
    <x v="8"/>
    <s v="Ils sont incompatibles."/>
    <s v="QCM"/>
    <s v="Ils sont incompatibles.|Ils sont compatibles.|Ils sont possibles mais indépendants."/>
    <m/>
  </r>
  <r>
    <n v="328"/>
    <s v="Si la probabilité d’un évènement est 0,6. Quelle est la probabilité de son évènement contraire ?"/>
    <x v="8"/>
    <s v="1-0,6 = 0,4 C’est 0,4"/>
    <s v="RDS"/>
    <n v="0.4"/>
    <m/>
  </r>
  <r>
    <n v="329"/>
    <s v="On place dans un sac opaque, 3 boules bleues numérotées de 1 à 3 et 5 boules vertes numérotées de 1 à 5 indiscernables au toucher. Quelle est la probabilité d’obtenir un numéro pair ?"/>
    <x v="8"/>
    <s v="Obtenir 2 en bleu ou 2 ou 4 en vert. Donc la probabilité est 3 / 8"/>
    <s v="RDS"/>
    <d v="2024-08-03T00:00:00"/>
    <m/>
  </r>
  <r>
    <n v="330"/>
    <s v="On place dans un sac opaque, 3 boules bleues numérotées de 1 à 3 et 5 boules vertes numérotées de 1 à 5 indiscernables au toucher. Quelle est la probabilité d’obtenir un numéro impair ?"/>
    <x v="8"/>
    <s v="Obtenir 1 ou 3 en bleu et 1 ou 3 ou 5 en vert. Donc la probabilité est 5 / 8"/>
    <s v="RDS"/>
    <d v="2024-08-05T00:00:00"/>
    <m/>
  </r>
  <r>
    <n v="331"/>
    <s v="On place dans un sac opaque, 3 boules bleues numérotées de 1 à 3 et 5 boules vertes numérotées de 1 à 5 indiscernables au toucher. Quelle est la probabilité d’obtenir une boule verte ?"/>
    <x v="8"/>
    <s v="La probabilité est 5 / 8"/>
    <s v="RDS"/>
    <d v="2024-08-05T00:00:00"/>
    <m/>
  </r>
  <r>
    <n v="332"/>
    <s v="On place dans un sac opaque, 3 boules bleues numérotées de 1 à 3 et 5 boules vertes numérotées de 1 à 5 indiscernables au toucher. Quelle est la probabilité d’obtenir le numéro 4 ?"/>
    <x v="8"/>
    <s v="Il n’y a qu’une seule boule numéro 4 La probabilité est 1 / 8"/>
    <s v="RDS"/>
    <d v="2024-04-01T00:00:00"/>
    <m/>
  </r>
  <r>
    <n v="333"/>
    <s v="On place dans un sac opaque, 2 boules bleues numérotées de 1 à 2 et 3 boules vertes numérotées de 1 à 3 indiscernables au toucher. On tire une boule, on regarde la couleur puis sans la remettre dans le sac, on tire une seconde boule et on regarde la couleur Quelle est la probabilité d’avoir 2 couleurs différentes ?"/>
    <x v="8"/>
    <s v="La probabilité est 12 / 20 ou 3/5"/>
    <s v="RDS"/>
    <s v="12/20|3  / 5"/>
    <m/>
  </r>
  <r>
    <n v="334"/>
    <s v="On écrit sur des jetons différents mais indiscernables au toucher les lettres suivantes : P, Y, T, H, A, G, O, R, E Quelle est la probabilité d’obtenir une voyelle ?"/>
    <x v="8"/>
    <s v="Les voyelles sont : Y, A, O, E La probabilité est 4 / 9"/>
    <s v="RDS"/>
    <d v="2024-09-04T00:00:00"/>
    <m/>
  </r>
  <r>
    <n v="335"/>
    <s v="On écrit sur des jetons différents mais indiscernables au toucher les lettres suivantes : M, A, T, H, E M, A, T, I, Q, U, E, S Quelle est la probabilité d’obtenir une consonne ?"/>
    <x v="8"/>
    <s v="La probabilité est 7 / 13"/>
    <s v="RDS"/>
    <d v="2013-07-01T00:00:00"/>
    <m/>
  </r>
  <r>
    <n v="336"/>
    <s v="Nous possédons un cadenas permettant de choisir un code à 3 chiffres. Quelle est la probabilité d’obtenir un code à 3 chiffres identiques ?"/>
    <x v="8"/>
    <s v="La probabilité est 10 / 1 000 soit 1/100"/>
    <s v="RDS"/>
    <s v="10/1000|1/100"/>
    <m/>
  </r>
  <r>
    <n v="337"/>
    <s v="Encadrer par deux entiers consécutifs √19"/>
    <x v="9"/>
    <s v="4&lt;√19&lt;5"/>
    <s v="QCM"/>
    <s v="4 &lt; √19 &lt; 5|3 &lt; √19 &lt; 4|5 &lt; √19 &lt; 6"/>
    <m/>
  </r>
  <r>
    <n v="338"/>
    <s v="Donner une valeur approchée par défaut de √32 au dixième près."/>
    <x v="9"/>
    <n v="5.6"/>
    <s v="RDS"/>
    <n v="5.6"/>
    <m/>
  </r>
  <r>
    <n v="339"/>
    <s v="Donner une valeur arrondie au millième près de 4/7"/>
    <x v="9"/>
    <n v="0.57099999999999995"/>
    <s v="RDS"/>
    <n v="0.57099999999999995"/>
    <m/>
  </r>
  <r>
    <n v="340"/>
    <s v="Donner une valeur approchée par excès au centième près de 13/14"/>
    <x v="9"/>
    <n v="0.93"/>
    <s v="RDS"/>
    <n v="0.93"/>
    <m/>
  </r>
  <r>
    <n v="341"/>
    <s v="Comment détecte-t-on un nombre divisible par 2 ? (Citer son critère de divisibilité)"/>
    <x v="9"/>
    <s v="Le nombre doit se terminer par 0 ; 2 ; 4 ; 6 ou 8"/>
    <s v="QCM"/>
    <s v="Le nombre doit se terminer par 0, 2, 4, 6 ou 8.|Le nombre doit avoir une somme de chiffres paire.|Le nombre doit être pair, donc se terminer par 1, 3, 5, 7 ou 9."/>
    <m/>
  </r>
  <r>
    <n v="342"/>
    <s v="Comment détecte-t-on un nombre divisible par 3 ? (Citer son critère de divisibilité)"/>
    <x v="9"/>
    <s v="On fait la somme des chiffres du nombre et cette somme doit être dans la table de 3."/>
    <s v="QCM"/>
    <s v="On fait la somme des chiffres du nombre et cette somme doit être dans la table de 3.|On additionne les chiffres du nombre, et cette somme doit être un nombre pair.|On additionne les chiffres du nombre, et cette somme doit être un nombre impair."/>
    <m/>
  </r>
  <r>
    <n v="343"/>
    <s v="Comment détecte-t-on un nombre divisible par 9 ? (Citer son critère de divisibilité)"/>
    <x v="9"/>
    <s v="On fait la somme des chiffres du nombre et cette somme doit être dans la table de 9."/>
    <s v="QCM"/>
    <s v="On fait la somme des chiffres du nombre et cette somme doit être dans la table de 9.|Le nombre doit être divisible par 3 mais impair.|Le nombre doit être divisible par 9 mais impair."/>
    <m/>
  </r>
  <r>
    <n v="344"/>
    <s v="Comment détecte-t-on un nombre divisible par 4 ? (Citer son critère de divisibilité)"/>
    <x v="9"/>
    <s v="Les 2 derniers chiffres du nombre forment un nombre dans la table de 4."/>
    <s v="QCM"/>
    <s v="Les deux derniers chiffres du nombre forment un nombre dans la table de 4.|Le nombre doit être pair et la somme de ses chiffres doit être paire.|Les deux derniers chiffres du nombre forment un nombre dans la table de 4."/>
    <m/>
  </r>
  <r>
    <n v="345"/>
    <s v="Qu'est-ce qu'un nombre premier ?"/>
    <x v="9"/>
    <s v="C’’est un nombre qui possède 2 diviseurs différents uniquement : 1 et lui-même."/>
    <s v="QCM"/>
    <s v="C’est un nombre qui possède 2 diviseurs différents uniquement : 1 et lui-même.|C’est un nombre qui a un seul diviseur : lui-même.|C’est un nombre pair divisible par 1 et par lui-même."/>
    <m/>
  </r>
  <r>
    <n v="346"/>
    <s v="Un nombre entier est-il un nombre décimal ?"/>
    <x v="9"/>
    <s v="Oui sa partie décimale est nulle."/>
    <s v="QCM"/>
    <s v="Oui, sa partie décimale est nulle.|Oui, mais seulement si on l'écrit sous forme de fraction décimale.|Non, les nombres entiers ne sont jamais des nombres décimaux."/>
    <m/>
  </r>
  <r>
    <n v="347"/>
    <s v="Donner la composition en produits de facteurs premiers de 990"/>
    <x v="9"/>
    <s v="2 x 3 x 3 x 5"/>
    <s v="QCM"/>
    <s v="2×3×3×5×11|2×3×3×5×7|2×3×5×11"/>
    <m/>
  </r>
  <r>
    <n v="348"/>
    <s v="1 est-il un nombre premier ?"/>
    <x v="9"/>
    <s v="Non il n’a qu’un seul diviseur"/>
    <s v="VF"/>
    <s v="F"/>
    <m/>
  </r>
  <r>
    <n v="349"/>
    <s v="Vrai ou faux ? Tous les nombres pairs sont des nombres qui ne sont pas premiers."/>
    <x v="9"/>
    <s v="Faux 2 est pair et un nombre premier. C’est le seul."/>
    <s v="VF"/>
    <s v="F"/>
    <m/>
  </r>
  <r>
    <n v="350"/>
    <s v="Donner la décomposition en produits de facteurs premiers de 147"/>
    <x v="9"/>
    <s v="3 x 7 x 7"/>
    <s v="QCM"/>
    <s v="3×7×7|2×3×7|3×5×7"/>
    <m/>
  </r>
  <r>
    <n v="351"/>
    <s v="Donner 3 multiples d e21 compris entre 25 et 100"/>
    <x v="9"/>
    <s v="42 ; 63 ; 84"/>
    <s v="QCM"/>
    <s v="42;63;84|21;42;84|42;53;74"/>
    <m/>
  </r>
  <r>
    <n v="352"/>
    <s v="Donner tous les diviseurs de 42"/>
    <x v="9"/>
    <s v="1 ; 2 ; 3 ; 6 ; 7 ; 14 ; 21 ; 42"/>
    <s v="RCV"/>
    <s v="1|2|3|6|7|14|21|42"/>
    <m/>
  </r>
  <r>
    <n v="353"/>
    <s v="Quel est le plus grand diviseur commun entre 210 et 330 ?"/>
    <x v="9"/>
    <s v="210 = 2 x 3 x 5 x 7   330 = 2 x 3 x 5 x 11 Le plus grand diviseur commun est 2 x 3 x 5 soit 30"/>
    <s v="RDS"/>
    <n v="30"/>
    <m/>
  </r>
  <r>
    <n v="354"/>
    <s v="Comment savoir si un nombre est divisible par 17 ?"/>
    <x v="9"/>
    <s v="Il faut effectuer la division euclidienne de ce nombre par 17 et si le reste est nul alors le nombre est divisible par 17."/>
    <s v="QCM"/>
    <s v="Il faut effectuer la division euclidienne de ce nombre par 17 et si le reste est nul, alors le nombre est divisible par 17.|Il faut vérifier si la somme des chiffres est un multiple de 17.|Il faut soustraire 17 du nombre et si le résultat est un multiple de 10, alors le nombre est divisible par 17."/>
    <m/>
  </r>
  <r>
    <n v="355"/>
    <s v="Vrai ou faux ? Si on divise le numérateur et le dénominateur d’une fraction par un diviseur commun, alors on obtient une fraction irréductible."/>
    <x v="9"/>
    <s v="Faux Il faut que le diviseur commun soit le plus grand. Contre-exemple : 42 / 30 est simplifiable par 2 mais ça ne rend pas cette fraction irréductible."/>
    <s v="VF"/>
    <s v="F"/>
    <m/>
  </r>
  <r>
    <n v="356"/>
    <s v="73 est-il un nombre premier ?"/>
    <x v="9"/>
    <s v="Oui car il n’y a que 2 diviseurs de 1 et 73."/>
    <s v="VF"/>
    <s v="V"/>
    <m/>
  </r>
  <r>
    <n v="357"/>
    <s v="289 est-il un nombre premier ? "/>
    <x v="9"/>
    <s v="Non 289 = 17 x 17 289 a 3 diviseurs : 1 ; 17 et 289"/>
    <s v="VF"/>
    <s v="F"/>
    <m/>
  </r>
  <r>
    <n v="358"/>
    <s v="Est-ce que 3 245 719 est divisible par 3 ?"/>
    <x v="9"/>
    <s v="3 + 2 + 4 + 5 + 7 + 1 + 9 =31 31 n’est pas dans la table de 3 3 245 719 n’est pas divisible par 3"/>
    <s v="VF"/>
    <s v="F"/>
    <m/>
  </r>
  <r>
    <n v="359"/>
    <s v="Est-ce que 3 245 719 est divisible par 4 ?"/>
    <x v="9"/>
    <s v="19 n’est pas dans la table de 4 3 245 719 n’est pas divisible par 4"/>
    <s v="VF"/>
    <s v="F"/>
    <m/>
  </r>
  <r>
    <n v="360"/>
    <s v="Est-ce que 3 245 719 est divisible par 9 ?"/>
    <x v="9"/>
    <s v="3 + 2 + 4 + 5 + 7 + 1 + 9 =31 31 n’est pas dans la table de 9 3 245 719 n’est pas divisible par 9"/>
    <s v="VF"/>
    <s v="F"/>
    <m/>
  </r>
  <r>
    <n v="361"/>
    <s v="Une guirlande électrique est constituée de lumières bleues et blanches. Les lumières bleues s'allument toutes les 5 s et les blanches toutes les 3 s. À un instant donné, on voit les lumières bleues et blanches allumées en même temps. 1/ Au bout de combien de temps ce phénomène se reproduira-t-il la prochaine fois ? 2/ Les lumières bleues et blanches se seront allumées combien de fois ?"/>
    <x v="9"/>
    <s v="1/ Au bout de 15 s 2/ Au bout de 5 fois pour la lumière blanche et au bout de 3 fois pour la lumière bleue."/>
    <s v="QCM"/>
    <s v="1/ Au bout de 15 secondes 2/ La lumière blanche s'allume 5 fois et la lumière bleue 3 fois.|1/ Au bout de 10 secondes 2/ La lumière blanche s'allume 4 fois et la lumière bleue 2 fois.|1/ Au bout de 12 secondes 2/ La lumière blanche s'allume 3 fois et la lumière bleue 4 fois."/>
    <m/>
  </r>
  <r>
    <n v="362"/>
    <s v="Un professeur organise une sortie pédagogique à la cité de la voile pour ses élèves de 3eme. Il est accompagné de 168 garçons et de 180 filles. Il souhaite répartir tous les élèves en réalisant un maximum de groupes contenant tous le même nombre de garçons et le même nombre de filles. Comment répartir les élèves ? Combien de groupes y aura-t-il ?"/>
    <x v="9"/>
    <s v="168 = 2 x 2 x 2 x 3 x 7 180 = 2 x 2 x 3 x 3 x 5 Le plus grand diviseur commun de 168 et 180 est 12. Il y aura 12 groupes composés de 15 filles et 14 garçons"/>
    <s v="QCM"/>
    <s v="12 groupes avec 15 filles et 14 garçons|14 groupes avec 13 filles et 12 garçons|8 groupes avec 18 filles et 21 garçons"/>
    <m/>
  </r>
  <r>
    <n v="363"/>
    <s v="Qu’est-ce que l’opposé d’un nombre ?"/>
    <x v="9"/>
    <s v="La somme d’un nombre et de son opposé est 0. On change le signe du nombre. Par exemple l’opposé du nombre a est -a"/>
    <s v="QCM"/>
    <s v="L’opposé d’un nombre est le nombre qui, additionné à celui-ci, donne 0. Par exemple, l’opposé de a est −a.|La somme d’un nombre et de son opposé est 1. On change le signe du nombre.|La somme de deux opposés est égale à 2 fois le nombre."/>
    <m/>
  </r>
  <r>
    <n v="364"/>
    <s v="Qu’est-ce que l’inverse d’un nombre ?"/>
    <x v="9"/>
    <s v="Le produit d’un nombre et de son inverse est 1 L’inverse de a est 1/a"/>
    <s v="QCM"/>
    <s v="L’inverse d’un nombre est celui qui, multiplié par le nombre, donne 1 .L’inverse de a est a/1.|L’inverse d’un nombre est celui qui, additionné au nombre, donne 1.|L’inverse d’un nombre est celui qui, multiplié par le nombre, donne 0."/>
    <m/>
  </r>
  <r>
    <n v="365"/>
    <s v="Un nombre décimal est-il un nombre entier ? "/>
    <x v="9"/>
    <s v="Non, contre-exemple 13,5 est un nombre décimal mais n’est pas un nombre entier."/>
    <s v="VF"/>
    <s v="F"/>
    <m/>
  </r>
  <r>
    <n v="366"/>
    <s v="Parmi les réponses suivantes, quelle(s) est ou sont les décompositions en produit de facteurs premiers ? a. 2² x 5³ x 7 b. 5 x 17² x 23 x 31 c. 2³ x 11⁴ x 17 x 39"/>
    <x v="9"/>
    <s v="a et b. Pas c car 39 = 3 x 13"/>
    <s v="QCM"/>
    <s v="a et b|a et c|b"/>
    <m/>
  </r>
  <r>
    <n v="367"/>
    <s v="Décomposer en produit de facteurs premiers 360"/>
    <x v="9"/>
    <s v="360 = 2³ x 3² x 5"/>
    <s v="QCM"/>
    <s v="2³×3²×5|2²×3³×5|3²×4×5"/>
    <m/>
  </r>
  <r>
    <n v="368"/>
    <s v="Décomposer en produit de facteurs premiers 2 530"/>
    <x v="9"/>
    <s v="2 530 = 2 x 5 x 11 x 23"/>
    <s v="QCM"/>
    <s v="2×5×11×23|2×3×11×29|2×5×11×21"/>
    <m/>
  </r>
  <r>
    <n v="369"/>
    <s v="Calculer (4+3)²−12×5"/>
    <x v="7"/>
    <s v="49 – 60 = - 11"/>
    <s v="RDS"/>
    <n v="-11"/>
    <m/>
  </r>
  <r>
    <n v="370"/>
    <s v="Calculer (−5)²+3×(−4)"/>
    <x v="7"/>
    <s v="(−5)²+3×(−4)=25−12=13"/>
    <s v="RDS"/>
    <n v="13"/>
    <m/>
  </r>
  <r>
    <n v="371"/>
    <s v="Calculer −7²−11×2"/>
    <x v="7"/>
    <s v="−7²−11×2= −49−22= −50"/>
    <s v="RDS"/>
    <n v="-50"/>
    <m/>
  </r>
  <r>
    <n v="372"/>
    <s v="Calculer 3³−13×(−3)"/>
    <x v="7"/>
    <s v="3³−13×(−3)=27+39=33"/>
    <s v="RDS"/>
    <n v="33"/>
    <m/>
  </r>
  <r>
    <n v="373"/>
    <s v="Calculer −4²+12−(13−6)×(5+6)"/>
    <x v="7"/>
    <s v="−16+12−7×11=−4−77= −80"/>
    <s v="RDS"/>
    <n v="-80"/>
    <m/>
  </r>
  <r>
    <n v="374"/>
    <s v="Calculer 10×3÷5×4"/>
    <x v="7"/>
    <s v="2×3×4=67"/>
    <s v="RDS"/>
    <n v="67"/>
    <m/>
  </r>
  <r>
    <n v="375"/>
    <s v="Calculer 3⁰+32÷4"/>
    <x v="7"/>
    <s v="3⁰+32÷4=1+8=9"/>
    <s v="RDS"/>
    <n v="9"/>
    <m/>
  </r>
  <r>
    <n v="376"/>
    <s v="Calculer (7+(10−6))×5÷11×(−4)"/>
    <x v="7"/>
    <s v="11×5÷11×(−4)= −69"/>
    <s v="RDS"/>
    <n v="-69"/>
    <m/>
  </r>
  <r>
    <n v="377"/>
    <s v="Calculer et simplifier 13/49 ×7/3"/>
    <x v="7"/>
    <s v="13/21"/>
    <s v="RDS"/>
    <s v="13/21"/>
    <m/>
  </r>
  <r>
    <n v="378"/>
    <s v="Calculer et simplifier 3/35 ×−7/4"/>
    <x v="7"/>
    <s v="(-3/20)"/>
    <s v="RDS"/>
    <n v="-0.15"/>
    <m/>
  </r>
  <r>
    <n v="379"/>
    <s v="Calculer et simplifier 2 × 5/16"/>
    <x v="7"/>
    <s v="(05/08)"/>
    <s v="RDS"/>
    <d v="2024-08-05T00:00:00"/>
    <m/>
  </r>
  <r>
    <n v="380"/>
    <s v="Calculer et simplifier 4÷ 10/−16"/>
    <x v="7"/>
    <s v="4× −16/10 =−32/5"/>
    <s v="RDS"/>
    <n v="-6.4"/>
    <m/>
  </r>
  <r>
    <n v="381"/>
    <s v="Calculer et simplifier 9/5÷18/8"/>
    <x v="7"/>
    <s v="9 / 5÷18 / 8 =9 / 5× 8 / 18= 8 / 10= 4/ 5"/>
    <s v="RDS"/>
    <d v="2024-05-04T00:00:00"/>
    <m/>
  </r>
  <r>
    <n v="382"/>
    <s v="Calculer 10 × (-8,09)"/>
    <x v="7"/>
    <s v="− 80,9"/>
    <s v="RDS"/>
    <n v="-80.900000000000006"/>
    <m/>
  </r>
  <r>
    <n v="383"/>
    <s v="Calculer -7,2 × 5"/>
    <x v="7"/>
    <n v="-36"/>
    <s v="RDS"/>
    <n v="-36"/>
    <m/>
  </r>
  <r>
    <n v="384"/>
    <s v="Calculer 874 × (-0,1)"/>
    <x v="7"/>
    <n v="-87.4"/>
    <s v="RDS"/>
    <n v="-87.4"/>
    <m/>
  </r>
  <r>
    <n v="385"/>
    <s v="Calculer et simplifier 15/72−5 /8"/>
    <x v="7"/>
    <s v="−46/35"/>
    <s v="RDS"/>
    <n v="-1.3142857142857143"/>
    <m/>
  </r>
  <r>
    <n v="386"/>
    <s v="Calculer et simplifier 3 /35+−7 /5"/>
    <x v="7"/>
    <s v="−30 /72 = −15 *36= -5/12"/>
    <s v="RDS"/>
    <n v="-0.41666666666666669"/>
    <m/>
  </r>
  <r>
    <n v="387"/>
    <s v="Calculer et simplifier 2+ 5 /16"/>
    <x v="7"/>
    <s v="32 /16+ 5 /16= 37/16"/>
    <s v="RDS"/>
    <s v="37/16"/>
    <m/>
  </r>
  <r>
    <n v="388"/>
    <s v="Calculer et simplifier 1− 10 /−16"/>
    <x v="7"/>
    <s v="16 /16+ 10 /16=26 /16=−13/8"/>
    <s v="RDS"/>
    <d v="2024-08-13T00:00:00"/>
    <m/>
  </r>
  <r>
    <n v="389"/>
    <s v="Calculer et simplifier 9 /5+18 /8 ×2"/>
    <x v="7"/>
    <s v="9 /5+6 /4=45 /20+30 /20=75 /20=15/4"/>
    <s v="RDS"/>
    <d v="2024-08-15T00:00:00"/>
    <m/>
  </r>
  <r>
    <n v="390"/>
    <s v="Calculer -50 × (-60)"/>
    <x v="7"/>
    <n v="3000"/>
    <s v="RDS"/>
    <n v="3000"/>
    <m/>
  </r>
  <r>
    <n v="391"/>
    <s v="Calculer 43,98 × (-0,1)"/>
    <x v="7"/>
    <n v="-4.3979999999999997"/>
    <s v="RDS"/>
    <n v="-4.3979999999999997"/>
    <m/>
  </r>
  <r>
    <n v="392"/>
    <s v="Calculer -(-10) × (-43,9)"/>
    <x v="7"/>
    <n v="-439"/>
    <s v="RDS"/>
    <n v="-439"/>
    <m/>
  </r>
  <r>
    <n v="393"/>
    <s v="Dans une classe de 30 élèves, il y a 14 garçons. Quel est le ratio garçons : filles ? Donner ce ratio le plus simplifié possible."/>
    <x v="0"/>
    <s v="14 garçons donc 16 filles. Le ratio est 14 : 16 Le ratio simplifié est 7 : 8"/>
    <s v="RLD2"/>
    <s v="7| : |8|"/>
    <m/>
  </r>
  <r>
    <n v="394"/>
    <s v="Pour une citronnade, on utilise 1,25 litres d’eau glacée, 250 mL de sucre et 500 mL de jus de citron. Quel est le ratio eau : citron : sucre ? Donner ce ratio il plus simplifié possible."/>
    <x v="0"/>
    <s v="Le ratio est 1 250 : 500 : 250 Le ratio simplifié est 5 : 2 : 1"/>
    <s v="RLD3"/>
    <s v="5| : |2| : |1|"/>
    <m/>
  </r>
  <r>
    <n v="395"/>
    <s v="Lorsqu’on multiplie un tarif par 0,7. Appliquons nous une réduction ou une augmentation ? De quel pourcentage s’agit-il ?"/>
    <x v="0"/>
    <s v="On réduit de 30 %"/>
    <s v="QCM"/>
    <s v="On réduit de 30 %|On augmente de 30 %|On réduit de 70 %"/>
    <m/>
  </r>
  <r>
    <n v="396"/>
    <s v="Lorsqu’on multiplie un tarif par 1,08. Appliquons nous une réduction ou une augmentation ? De quel pourcentage s’agit-il ?"/>
    <x v="0"/>
    <s v="On applique une augmentation de 8 %"/>
    <s v="QCM"/>
    <s v="On applique une augmentation de 8 %|On applique une réduction de 8 %|On applique une réduction de 0,92 %"/>
    <m/>
  </r>
  <r>
    <n v="397"/>
    <s v="Un article passe de 35 € à 25 €. Quel est le pourcentage de réduction ? Arrondir à l’unité"/>
    <x v="0"/>
    <s v="(35 – 25)/35 x 100 ≈28,57 Le pourcentage arrondi à l’unité est 29 %"/>
    <s v="RDS"/>
    <s v="29|29%"/>
    <m/>
  </r>
  <r>
    <n v="398"/>
    <s v="Un article passe de 25 € à 35 €. Quel est le pourcentage d’augmentation ?"/>
    <x v="0"/>
    <s v="(35-25)/25 x 100 = 40 Le pourcentage d’augmentation est 40%"/>
    <s v="RDS"/>
    <s v="40|40%"/>
    <m/>
  </r>
  <r>
    <n v="399"/>
    <s v="Un article passe de 116 € à 89 €. Quel est le pourcentage de réduction ? Arrondir à l’unité"/>
    <x v="0"/>
    <s v="(116 – 89)/116 x 100 ≈23,27 Le pourcentage arrondi à l’unité est 23 %"/>
    <s v="RDS"/>
    <s v="23|23%"/>
    <m/>
  </r>
  <r>
    <n v="400"/>
    <s v="Un article passe de 89 € à 116 €. Quel est le pourcentage d’augmentation ? Arrondir à l’unité"/>
    <x v="0"/>
    <s v="(116-89)/89 x 100 ≈30,33 Le pourcentage d’augmentation est 30%"/>
    <s v="RDS"/>
    <s v="30|30%"/>
    <m/>
  </r>
  <r>
    <n v="401"/>
    <s v="Calculer le tiers de  0,24"/>
    <x v="7"/>
    <n v="0.08"/>
    <s v="RDS"/>
    <n v="0.08"/>
    <m/>
  </r>
  <r>
    <n v="402"/>
    <s v="Calculez le  cinqième de -4,5"/>
    <x v="7"/>
    <n v="-0.9"/>
    <s v="RDS"/>
    <n v="-0.9"/>
    <m/>
  </r>
  <r>
    <n v="403"/>
    <s v="Calculez le  quart de 0,032"/>
    <x v="7"/>
    <n v="8.0000000000000002E-3"/>
    <s v="RDS"/>
    <n v="8.0000000000000002E-3"/>
    <m/>
  </r>
  <r>
    <n v="404"/>
    <s v="Calculez lz moitié de -37,5"/>
    <x v="7"/>
    <n v="-18.75"/>
    <s v="RDS"/>
    <n v="-18.75"/>
    <m/>
  </r>
  <r>
    <n v="405"/>
    <s v="Calculer √64+√25"/>
    <x v="7"/>
    <s v="8+5=13"/>
    <s v="RDS"/>
    <n v="13"/>
    <m/>
  </r>
  <r>
    <n v="406"/>
    <s v="Calculer −√81+√16"/>
    <x v="7"/>
    <s v="−9+4=−5"/>
    <s v="RDS"/>
    <n v="-5"/>
    <m/>
  </r>
  <r>
    <n v="407"/>
    <s v="Calculer −√9−√100"/>
    <x v="7"/>
    <s v="−3−10=−13"/>
    <s v="RDS"/>
    <n v="-13"/>
    <m/>
  </r>
  <r>
    <n v="408"/>
    <s v="Calculer √49/2"/>
    <x v="7"/>
    <n v="3.5"/>
    <s v="RDS"/>
    <n v="3.5"/>
    <m/>
  </r>
  <r>
    <n v="409"/>
    <s v="Calculez les deux tiers de 1,5"/>
    <x v="7"/>
    <n v="1"/>
    <s v="RDS"/>
    <n v="1"/>
    <m/>
  </r>
  <r>
    <n v="410"/>
    <s v="Calculez les trois cinquièmes de -45"/>
    <x v="7"/>
    <n v="-27"/>
    <s v="RDS"/>
    <n v="-27"/>
    <m/>
  </r>
  <r>
    <n v="411"/>
    <s v="Calculez les sept quarts de 3,6"/>
    <x v="7"/>
    <n v="6.3"/>
    <s v="RDS"/>
    <n v="6.3"/>
    <m/>
  </r>
  <r>
    <n v="412"/>
    <s v="Calculez les neuf septièmes de -630"/>
    <x v="7"/>
    <n v="-810"/>
    <s v="RDS"/>
    <n v="-810"/>
    <m/>
  </r>
  <r>
    <n v="413"/>
    <s v="Calculer −6×150"/>
    <x v="7"/>
    <n v="-900"/>
    <s v="RDS"/>
    <n v="-900"/>
    <m/>
  </r>
  <r>
    <n v="414"/>
    <s v="Calculer 11×2 300"/>
    <x v="7"/>
    <n v="25300"/>
    <s v="RDS"/>
    <n v="25300"/>
    <m/>
  </r>
  <r>
    <n v="415"/>
    <s v="Calculer 6,2×1 100"/>
    <x v="7"/>
    <n v="6820"/>
    <s v="RDS"/>
    <n v="6820"/>
    <m/>
  </r>
  <r>
    <n v="416"/>
    <s v="Quel est le nombre qui, multiplié par 11, donne 3 ?"/>
    <x v="7"/>
    <d v="2024-11-03T00:00:00"/>
    <s v="RDS"/>
    <d v="2024-11-03T00:00:00"/>
    <m/>
  </r>
  <r>
    <n v="417"/>
    <s v="Quel est le nombre qui, multiplié par -17, donne 5 ?"/>
    <x v="7"/>
    <n v="-0.29411764705882354"/>
    <s v="RDS"/>
    <n v="-0.29411764705882354"/>
    <m/>
  </r>
  <r>
    <n v="418"/>
    <s v="Quel est le nombre qui, ajouté à -2, donne 19 ?"/>
    <x v="7"/>
    <n v="21"/>
    <s v="RDS"/>
    <n v="21"/>
    <m/>
  </r>
  <r>
    <n v="419"/>
    <s v="Quel est le nombre qui, ajouté à -7, donne -3 ?"/>
    <x v="7"/>
    <n v="4"/>
    <s v="RDS"/>
    <n v="4"/>
    <m/>
  </r>
  <r>
    <n v="420"/>
    <s v="Quel est le nombre qui, ajouté à -4, donne -32 ?"/>
    <x v="7"/>
    <n v="-28"/>
    <s v="RDS"/>
    <n v="-28"/>
    <m/>
  </r>
  <r>
    <n v="421"/>
    <s v="Déterminer la valeur de x   x / 11=14 / 7"/>
    <x v="7"/>
    <d v="2024-11-02T00:00:00"/>
    <s v="RDS"/>
    <d v="2024-11-02T00:00:00"/>
    <m/>
  </r>
  <r>
    <n v="422"/>
    <s v="Déterminer la valeur de x  x / 3,6=7/  9"/>
    <x v="7"/>
    <n v="2.8"/>
    <s v="RDS"/>
    <n v="2.8"/>
    <m/>
  </r>
  <r>
    <n v="423"/>
    <s v="Déterminer la valeur de x 4,8/x =−6 /10"/>
    <x v="7"/>
    <n v="-8"/>
    <s v="RDS"/>
    <n v="-8"/>
    <m/>
  </r>
  <r>
    <n v="424"/>
    <s v="Déterminer la valeur de x 6,1 /−3= x / 1,2"/>
    <x v="7"/>
    <n v="-2.44"/>
    <s v="RDS"/>
    <n v="-2.44"/>
    <m/>
  </r>
  <r>
    <n v="425"/>
    <s v="Calculer -11²"/>
    <x v="7"/>
    <n v="-121"/>
    <s v="RDS"/>
    <n v="-121"/>
    <m/>
  </r>
  <r>
    <n v="426"/>
    <s v="Calculer (-12)²"/>
    <x v="7"/>
    <n v="144"/>
    <s v="RDS"/>
    <n v="144"/>
    <m/>
  </r>
  <r>
    <n v="427"/>
    <s v="Calculer (-2)⁴"/>
    <x v="7"/>
    <n v="16"/>
    <s v="RDS"/>
    <n v="16"/>
    <m/>
  </r>
  <r>
    <n v="428"/>
    <s v="Calculer −5³"/>
    <x v="7"/>
    <n v="-125"/>
    <s v="RDS"/>
    <n v="-125"/>
    <m/>
  </r>
  <r>
    <n v="429"/>
    <s v="Calculer 4×10^-3"/>
    <x v="7"/>
    <n v="4.0000000000000001E-3"/>
    <s v="RDS"/>
    <n v="4.0000000000000001E-3"/>
    <m/>
  </r>
  <r>
    <n v="430"/>
    <s v="Calculer 5,7 ×10²"/>
    <x v="7"/>
    <n v="570"/>
    <s v="RDS"/>
    <n v="570"/>
    <m/>
  </r>
  <r>
    <n v="431"/>
    <s v="Écrire le résultat sous la forme d’une puissance 10⁷ /10^-3"/>
    <x v="7"/>
    <s v="10^10"/>
    <s v="RDS"/>
    <s v="10^10|"/>
    <m/>
  </r>
  <r>
    <n v="432"/>
    <s v="Écrire le résultat sous la forme d’une puissance (10^-5)⁴"/>
    <x v="7"/>
    <s v="10^-20"/>
    <s v="RDS"/>
    <s v="10^-20"/>
    <m/>
  </r>
  <r>
    <n v="433"/>
    <s v="Combien y a-t-il de semaines dans 3 années ?"/>
    <x v="7"/>
    <s v="3 x 52 = 156 semaines"/>
    <s v="RDS"/>
    <s v="156|156 semaines"/>
    <m/>
  </r>
  <r>
    <n v="434"/>
    <s v="Convertir 12,56 dm en m"/>
    <x v="7"/>
    <s v="1,256 m"/>
    <s v="RDS"/>
    <s v="1,256|1,256 m"/>
    <m/>
  </r>
  <r>
    <n v="435"/>
    <s v="Convertir 135 m² en cm²"/>
    <x v="7"/>
    <s v="1350000 cm²"/>
    <s v="RDS"/>
    <s v="1350000|1350000 cm²"/>
    <m/>
  </r>
  <r>
    <n v="436"/>
    <s v="Convertir 374,56 m en hm"/>
    <x v="7"/>
    <s v="3,7456 hm"/>
    <s v="RDS"/>
    <s v="3,7456|3,7456 hm"/>
    <m/>
  </r>
  <r>
    <n v="437"/>
    <s v="Convertir 523 731,9 dm² en dam²"/>
    <x v="7"/>
    <s v="52,373 19 dm²"/>
    <s v="RDS"/>
    <s v="52,37319|52,37319 dm²"/>
    <m/>
  </r>
  <r>
    <n v="438"/>
    <s v="Convertir 3,2 m³ en L"/>
    <x v="7"/>
    <s v="3200 L"/>
    <s v="RDS"/>
    <s v="3200|3200 L"/>
    <m/>
  </r>
  <r>
    <n v="439"/>
    <s v="Convertir 162,84 dam³ en m³"/>
    <x v="7"/>
    <s v="162 840 m³"/>
    <s v="RDS"/>
    <s v="162 840|162 840 m³"/>
    <m/>
  </r>
  <r>
    <n v="440"/>
    <s v="Convertir 4 908,4 mm³ en cm³"/>
    <x v="7"/>
    <s v="4,908 4 cm³"/>
    <s v="RDS"/>
    <s v="4,9084|4,9084 cm³"/>
    <m/>
  </r>
  <r>
    <n v="441"/>
    <s v="Développer et réduire −(4x−11)×2x"/>
    <x v="5"/>
    <s v="−8x²+22x"/>
    <s v="RLD3"/>
    <s v="-8|x²|22|x|0|"/>
    <m/>
  </r>
  <r>
    <n v="442"/>
    <s v="Développer et réduire −(5+10x)×3x"/>
    <x v="5"/>
    <s v="−15x−30x²"/>
    <s v="RLD3"/>
    <s v="-15|x²|-30|x|0|"/>
    <m/>
  </r>
  <r>
    <n v="443"/>
    <s v="Développer et réduire (8−9x)²"/>
    <x v="5"/>
    <s v="81x²−144x+64"/>
    <s v="RLD3"/>
    <s v="81|x²|-144|x|64|"/>
    <m/>
  </r>
  <r>
    <n v="444"/>
    <s v="Développer et réduire (11+5x)²"/>
    <x v="5"/>
    <s v="25x²+110x+121"/>
    <s v="RLD3"/>
    <s v="25|x²|110|x|121|"/>
    <m/>
  </r>
  <r>
    <n v="445"/>
    <s v="Développer et réduire (3−4x)(4x+3)"/>
    <x v="5"/>
    <s v="9−16x²"/>
    <s v="RLD3"/>
    <s v="-16|x²|0|x|9|"/>
    <m/>
  </r>
  <r>
    <n v="446"/>
    <s v="Développer et réduire (5x+7)(5x−7)"/>
    <x v="5"/>
    <s v="25x²−49"/>
    <s v="RLD3"/>
    <s v="25|x²|0|x|-49|"/>
    <m/>
  </r>
  <r>
    <n v="447"/>
    <s v="Factoriser 5x+10"/>
    <x v="5"/>
    <s v="5(x+2)"/>
    <s v="QCM"/>
    <s v="5(x+2)|2(x+5)|10(x+0,5)"/>
    <m/>
  </r>
  <r>
    <n v="448"/>
    <s v="Factoriser 4x²+4x"/>
    <x v="5"/>
    <s v="4x(x+1)"/>
    <s v="QCM"/>
    <s v="4x(x+1)|4(x+1)|4x²(x+1)"/>
    <m/>
  </r>
  <r>
    <n v="449"/>
    <s v="Factoriser 24x+6x²−6"/>
    <x v="5"/>
    <s v="6(4x+x²-1)"/>
    <s v="QCM"/>
    <s v="6(4x+x²-1)|3(8x+2x²−2)|3x(8+2x−2)"/>
    <m/>
  </r>
  <r>
    <n v="450"/>
    <s v="Factoriser en utilisant les identités remarquables 9+12x+4x²"/>
    <x v="5"/>
    <s v="(3+2x)²"/>
    <s v="QCM"/>
    <s v="(3+2x)²|(3+x)²|(3x+2)²"/>
    <m/>
  </r>
  <r>
    <n v="451"/>
    <s v="Factoriser 36x²−49"/>
    <x v="5"/>
    <s v="(6x-7)(6x+7)"/>
    <s v="QCM"/>
    <s v="(6x−7)(6x+7)|(7−6x)(7+6x)|(6x+7)(6x−7)"/>
    <m/>
  </r>
  <r>
    <n v="452"/>
    <s v="Factoriser en utilisant les identités remarquables 16−40x+25x²"/>
    <x v="5"/>
    <s v="(4-5x)²"/>
    <s v="QCM"/>
    <s v="(4−5x)²|(5x−4)²|(5−4x)²"/>
    <m/>
  </r>
  <r>
    <n v="453"/>
    <s v="Factoriser 9−16x²"/>
    <x v="5"/>
    <s v="(3-4x)(4x+3)"/>
    <s v="QCM"/>
    <s v="(3−4x)(4x+3)|(3x−4)(3x+4)|(3+4x)(3−4x)"/>
    <m/>
  </r>
  <r>
    <n v="454"/>
    <s v="Factoriser 100−64x²"/>
    <x v="5"/>
    <s v="(10-8x)(10+8x)"/>
    <s v="QCM"/>
    <s v="(10−8x)(10+8x)|(10x−8)(10x+8)|(8−10x)(10+8x)"/>
    <m/>
  </r>
  <r>
    <n v="455"/>
    <s v="Factoriser en utilisant l’identité remarquable a2-b2   (2+x)²−(3+2x)²"/>
    <x v="5"/>
    <s v="((2+x)−(3+2x))((2+x)+(3+2x)) = (2+x−3−2x)(2+x+3+2x)  =(−1-x)(5+3x) "/>
    <s v="QCM"/>
    <s v="(−1−x)(5+3x)|(2−3x)(2x+5)|(1+x)(6−3x)"/>
    <m/>
  </r>
  <r>
    <n v="456"/>
    <s v="Factoriser 25x−25x²"/>
    <x v="5"/>
    <s v="25x(1-x)"/>
    <s v="QCM"/>
    <s v="25x(1-x)|25x(1-x²)|25x(1-x)²"/>
    <m/>
  </r>
  <r>
    <n v="457"/>
    <s v="Quelle est la valeur de cette expression pour x=2 ? 24x−6x²−6"/>
    <x v="5"/>
    <n v="18"/>
    <s v="RDS"/>
    <n v="18"/>
    <m/>
  </r>
  <r>
    <n v="458"/>
    <s v="Quelle est la valeur de cette expression pour x=3 ? 7−4x+5x²"/>
    <x v="5"/>
    <n v="40"/>
    <s v="RDS"/>
    <n v="40"/>
    <m/>
  </r>
  <r>
    <n v="459"/>
    <s v="Quelle est la valeur de cette expression pour x=−1 ? −3x+7x²+8"/>
    <x v="5"/>
    <n v="18"/>
    <s v="RDS"/>
    <n v="18"/>
    <m/>
  </r>
  <r>
    <n v="460"/>
    <s v="Quelle est la valeur de cette expression pour x=−2 ? 8−40x−25x²"/>
    <x v="5"/>
    <n v="-12"/>
    <s v="RDS"/>
    <n v="-12"/>
    <m/>
  </r>
  <r>
    <n v="461"/>
    <s v="Résoudre 9−16x²=0"/>
    <x v="5"/>
    <s v="(3−4x)(4x+3)=0 2 solutions : 3/4 et - 3/4"/>
    <s v="VFRLD2"/>
    <s v="V|Les 2 solutions sont : |0,75| et |-0,75|"/>
    <m/>
  </r>
  <r>
    <n v="462"/>
    <s v="Résoudre 100−49x²=0"/>
    <x v="5"/>
    <s v="(10−7x)(10+7x)=0 2 solutions : 10/7 et - 10/7"/>
    <s v="VFRLD2"/>
    <s v="V|Les 2 solutions sont : |10/7| et |-10/7|"/>
    <m/>
  </r>
  <r>
    <n v="463"/>
    <s v="Résoudre 24x−6x²=0"/>
    <x v="5"/>
    <s v="6x(4−x)=0 2 solutions : 0 et 4"/>
    <s v="VFRLD2"/>
    <s v="V|Les 2 solutions sont : |0| et |4|"/>
    <m/>
  </r>
  <r>
    <n v="464"/>
    <s v="Résoudre 49x²+7x=0"/>
    <x v="5"/>
    <s v="7x(7x+1)=0 2 solutions : 0 et - 1/7"/>
    <s v="VFRLD2"/>
    <s v="V|Les 2 solutions sont : |0| et |-1/7|"/>
    <m/>
  </r>
  <r>
    <n v="465"/>
    <s v="Résoudre x²=−8"/>
    <x v="5"/>
    <s v="Aucune solution car un nombre au carré ne peut-être négatif."/>
    <s v="VFRLD1"/>
    <s v="F"/>
    <m/>
  </r>
  <r>
    <n v="466"/>
    <s v="Résoudre 8x−12=10"/>
    <x v="5"/>
    <s v="La solution est 2,75"/>
    <s v="VFRLD1"/>
    <s v="V|La solution est : |2,75"/>
    <m/>
  </r>
  <r>
    <n v="467"/>
    <s v="Résoudre 3x+21=9"/>
    <x v="5"/>
    <s v="La solution est −4"/>
    <s v="VFRLD1"/>
    <s v="V|La solution est : |-4"/>
    <m/>
  </r>
  <r>
    <n v="468"/>
    <s v="Résoudre 5−7x=54"/>
    <x v="5"/>
    <s v="La solution est −7"/>
    <s v="VFRLD1"/>
    <s v="V|La solution est : |-7"/>
    <m/>
  </r>
  <r>
    <n v="469"/>
    <s v="Résoudre x²=− 12"/>
    <x v="5"/>
    <s v="Aucune solution car un nombre au carré ne peut-être négatif."/>
    <s v="VFRLD1"/>
    <s v="F"/>
    <m/>
  </r>
  <r>
    <n v="470"/>
    <s v="Résoudre 4(x−8)=6"/>
    <x v="5"/>
    <s v="4x−32=6 La solution est 9,5"/>
    <s v="VFRLD1"/>
    <s v="V|La solution est : |9,5"/>
    <m/>
  </r>
  <r>
    <n v="471"/>
    <s v="Résoudre 5(3x−7)=−40"/>
    <x v="5"/>
    <s v="15x−35=−40 La solution est -1/3"/>
    <s v="VFRLD1"/>
    <s v="V|La solution est : |-1/3"/>
    <m/>
  </r>
  <r>
    <n v="472"/>
    <s v="Résoudre 2x−7=42+6x"/>
    <x v="5"/>
    <s v="La solution est -12,25"/>
    <s v="VFRLD1"/>
    <s v="V|La solution est : |-12,25"/>
    <m/>
  </r>
  <r>
    <n v="473"/>
    <s v="Résoudre 19−3x=−8x+7"/>
    <x v="5"/>
    <s v="La solution est −2,4"/>
    <s v="VFRLD1"/>
    <s v="V|La solution est : |-2,4"/>
    <m/>
  </r>
  <r>
    <n v="474"/>
    <s v="Après avoir développé, résoudre 6(2x−5)+3(x−7)=15"/>
    <x v="5"/>
    <s v="La solution est 2,75"/>
    <s v="VFRLD1"/>
    <s v="V|La solution est : |2,75"/>
    <m/>
  </r>
  <r>
    <n v="475"/>
    <s v="Après avoir développé, résoudre 9(x+7)−4(3x−8)=62"/>
    <x v="5"/>
    <s v="−3x+95=62 La solution est 11"/>
    <s v="VFRLD1"/>
    <s v="V|La solution est : |11"/>
    <m/>
  </r>
  <r>
    <n v="476"/>
    <s v="Après avoir factorisé, résoudre (3x+1)(2x+5)+4(3x+1)=0"/>
    <x v="5"/>
    <s v="(3x+1)(2x+9)=0 Les 2 solutions sont −1/3 et -4,5"/>
    <s v="VFRLD2"/>
    <s v="V|Les 2 solutions sont : |-1/3| et |-4,5|"/>
    <m/>
  </r>
  <r>
    <n v="477"/>
    <s v="Après avoir factorisé, résoudre (x−8)(4x+11)−7(x−8)=0"/>
    <x v="5"/>
    <s v="(x−8)(4x+4)=0 Les 2 solutions sont −1 et 8"/>
    <s v="VFRLD2"/>
    <s v="V|Les 2 solutions sont : |-1| et |8|"/>
    <m/>
  </r>
  <r>
    <n v="478"/>
    <s v="Après avoir factorisé, résoudre (4x−1)(5x+7)+(3x+9)(4x−1)=0"/>
    <x v="5"/>
    <s v="(4x−1)(8x+16)=0 Les 2 solutions sont 1/4 et - 2"/>
    <s v="VFRLD2"/>
    <s v="V|Les 2 solutions sont : |0,25| et |-2|"/>
    <m/>
  </r>
  <r>
    <n v="479"/>
    <s v="Après avoir développé, résoudre −7(6x+5)−4(x+9)=−8(x−11)−7"/>
    <x v="5"/>
    <s v="−46x−71=−8x+81 La solution est -4"/>
    <s v="VFRLD1"/>
    <s v="V|La solution est : |-4"/>
    <m/>
  </r>
  <r>
    <n v="480"/>
    <s v="Résoudre 3x+1/5=7/8"/>
    <x v="5"/>
    <s v="La solution est 9/40 "/>
    <s v="VFRLD1"/>
    <s v="V|La solution est : |9/40"/>
    <m/>
  </r>
  <r>
    <n v="481"/>
    <s v="Peut-on avoir plusieurs antécédents par une fonction ?"/>
    <x v="10"/>
    <s v="Oui, comme pour la fonction carrée"/>
    <s v="VF"/>
    <s v="V"/>
    <m/>
  </r>
  <r>
    <n v="482"/>
    <s v="Peut-on avoir plusieurs images par une fonction ?"/>
    <x v="10"/>
    <s v="Non, l’image est unique."/>
    <s v="VF"/>
    <s v="F"/>
    <m/>
  </r>
  <r>
    <n v="483"/>
    <s v="Soit f la fonction définie par f(x)= 8x−9. Quelle est l’image de 10 par la fonction f?"/>
    <x v="10"/>
    <s v="C’est 71."/>
    <s v="RDS"/>
    <n v="71"/>
    <m/>
  </r>
  <r>
    <n v="484"/>
    <s v="Soit f la fonction définie par f(x)= 6x+4. Quelle est l’image de - 5 par la fonction f?"/>
    <x v="10"/>
    <s v="C’est - 26"/>
    <s v="RDS"/>
    <n v="-26"/>
    <m/>
  </r>
  <r>
    <n v="485"/>
    <s v="Soit f la fonction définie par f(x)= −5x+11. Calculer un antécédent de – 4 par la fonction f."/>
    <x v="10"/>
    <s v="C’est 3."/>
    <s v="RDS"/>
    <n v="3"/>
    <m/>
  </r>
  <r>
    <n v="486"/>
    <s v="Soit f la fonction définie par f(x)= −7x−2. Calculer un antécédent de -58 par la fonction f."/>
    <x v="10"/>
    <s v="C’est 8."/>
    <s v="RDS"/>
    <n v="8"/>
    <m/>
  </r>
  <r>
    <n v="487"/>
    <s v="Quel est l’antécédent de -1 par la fonction ℎ:x→−2,5 x−6 ?"/>
    <x v="10"/>
    <s v="C’est -2."/>
    <s v="RDS"/>
    <n v="-2"/>
    <m/>
  </r>
  <r>
    <n v="488"/>
    <s v="Quelle est l’image de - 1 par la fonction k: x→−2,5 x²+8 ?"/>
    <x v="10"/>
    <s v="C’est 5,5."/>
    <s v="RDS"/>
    <n v="5.5"/>
    <m/>
  </r>
  <r>
    <n v="489"/>
    <s v="Quelle est l’image de 4 par cette fonction dont voici la représentation graphique ?"/>
    <x v="10"/>
    <s v="C’est 5."/>
    <s v="RDS"/>
    <n v="5"/>
    <s v="oui"/>
  </r>
  <r>
    <n v="490"/>
    <s v="Quelle est l’image de 0 par cette fonction dont voici la représentation graphique ?"/>
    <x v="10"/>
    <s v="C’est 2."/>
    <s v="RDS"/>
    <n v="2"/>
    <s v="oui"/>
  </r>
  <r>
    <n v="491"/>
    <s v="Quel est l’antécédent de -2 par cette fonction dont voici la représentation graphique ?"/>
    <x v="10"/>
    <s v="C’est 1."/>
    <s v="RDS"/>
    <n v="1"/>
    <s v="oui"/>
  </r>
  <r>
    <n v="492"/>
    <s v="Quel est l’antécédent de 2 par cette fonction dont voici la représentation graphique ?"/>
    <x v="10"/>
    <s v="C’est 0."/>
    <s v="RDS"/>
    <n v="0"/>
    <s v="oui"/>
  </r>
  <r>
    <n v="493"/>
    <s v="Quelle est l’image de -2 par cette fonction dont voici la représentation graphique ?"/>
    <x v="10"/>
    <s v="C’est - 1."/>
    <s v="RDS"/>
    <n v="-1"/>
    <s v="oui"/>
  </r>
  <r>
    <n v="494"/>
    <s v="Est-ce la représentation graphique d’une fonction affine ?"/>
    <x v="10"/>
    <s v="C’est oui, car c’est une droite."/>
    <s v="VF"/>
    <s v="V"/>
    <s v="oui"/>
  </r>
  <r>
    <n v="495"/>
    <s v="Est-ce la représentation graphique d’une fonction linéaire ?"/>
    <x v="10"/>
    <s v="C’est non car c’est une droite mais qui ne passe pas par l’origine."/>
    <s v="VF"/>
    <s v="F"/>
    <s v="oui"/>
  </r>
  <r>
    <n v="496"/>
    <s v="Est-ce la représentation graphique d’une fonction affine ?"/>
    <x v="10"/>
    <s v="Non car ce n’est pas une droite."/>
    <s v="VF"/>
    <s v="F"/>
    <s v="oui"/>
  </r>
  <r>
    <n v="497"/>
    <s v="Quelle est l’image de 0 par cette fonction dont voici la représentation graphique ?"/>
    <x v="10"/>
    <s v="C’est 0"/>
    <s v="RDS"/>
    <n v="0"/>
    <s v="oui"/>
  </r>
  <r>
    <n v="498"/>
    <s v="Quelle est l’image de 2 par cette fonction dont voici la représentation graphique ?"/>
    <x v="10"/>
    <s v="C’est 4"/>
    <s v="RDS"/>
    <n v="4"/>
    <s v="oui"/>
  </r>
  <r>
    <n v="499"/>
    <s v="Quels sont les antécédents de 3 par cette fonction dont voici la représentation graphique ?"/>
    <x v="10"/>
    <s v="Ce sont 1 et 3."/>
    <s v="RCV"/>
    <s v="1|3"/>
    <s v="oui"/>
  </r>
  <r>
    <n v="500"/>
    <s v="Quels sont les antécédents de 0 par cette  fonction dont voici la représentation graphique ? "/>
    <x v="10"/>
    <s v="Ce sont 0 et 4."/>
    <s v="RCV"/>
    <s v="0|4"/>
    <s v="oui"/>
  </r>
  <r>
    <n v="501"/>
    <s v="Est-ce la représentation graphique d’une fonction affine ? "/>
    <x v="10"/>
    <s v="Non car ce n’est pas une droite."/>
    <s v="VF"/>
    <s v="F"/>
    <s v="oui"/>
  </r>
  <r>
    <n v="502"/>
    <s v="Voici le tableau de valeurs d’une fonction f. Quelle est l’image de 5 par f ?"/>
    <x v="10"/>
    <s v="C’est 7."/>
    <s v="RDS"/>
    <n v="7"/>
    <s v="oui"/>
  </r>
  <r>
    <n v="503"/>
    <s v="Voici le tableau de valeurs d’une fonction f. Quelle est l’antécédent de 5 par f ?"/>
    <x v="10"/>
    <s v="C’est 3."/>
    <s v="RDS"/>
    <n v="3"/>
    <s v="oui"/>
  </r>
  <r>
    <n v="504"/>
    <s v="Que représentent a et b dans l’expression de la fonction affine f(x)=ax+b ?"/>
    <x v="10"/>
    <s v="a est le coefficient directeur b est l’ordonnée à l’origine."/>
    <s v="QCM"/>
    <s v="a est le coefficient directeur, b est l'ordonnée à l'origine.|a est l'ordonnée à l'origine, b est le coefficient directeur.|a et b ne représentent rien de spécifique."/>
    <m/>
  </r>
  <r>
    <n v="505"/>
    <s v="Le point A(-3 ; -1) est-il sur la représentation graphique de cette fonction f : x-&gt; −3x−1 ?"/>
    <x v="10"/>
    <s v="f(-3) = -3 x (-3) -1 = 9 – 1 = 8 A n’est pas sur la représentation graphique de f."/>
    <s v="VF"/>
    <s v="F"/>
    <m/>
  </r>
  <r>
    <n v="506"/>
    <s v="Le point A(2 ; - 7) est-il sur la représentation graphique de cette fonction f : x-&gt; −3x−1 ?"/>
    <x v="10"/>
    <s v="f(2) = -3 x 2 -1 = - 6 – 1 = -7 A est sur la représentation graphique de f."/>
    <s v="VF"/>
    <s v="V"/>
    <m/>
  </r>
  <r>
    <n v="507"/>
    <s v="Quelle est l’expression de cette fonction dont voici la représentation graphique ?"/>
    <x v="10"/>
    <s v="f(x)=1/3 x−1"/>
    <s v="QCM"/>
    <s v="f(x)=1/3x−1|f(x)=1/2x−3|f(x)=3x+2"/>
    <s v="oui"/>
  </r>
  <r>
    <n v="508"/>
    <s v="Quelle est l’expression de cette fonction dont voici la représentation graphique ?"/>
    <x v="10"/>
    <s v="f(x)=4/5x−2"/>
    <s v="QCM"/>
    <s v="f(x)=4/5x−2|f(x)=x+4|f(x)=2/3x+1"/>
    <s v="oui"/>
  </r>
  <r>
    <n v="509"/>
    <s v="Quelle est l’expression de cette fonction dont voici la représentation graphique ?"/>
    <x v="10"/>
    <s v="f(x)=−1/2x+2"/>
    <s v="QCM"/>
    <s v="f(x)=−1/2x+2|f(x)=2x−1|f(x)=x+2"/>
    <s v="oui"/>
  </r>
  <r>
    <n v="510"/>
    <s v="Parmi ces fonctions, quelles sont celles qui sont des fonctions linéaires? • f: x -&gt; 3x² - 8 • g: x -&gt; 9 x • h: x -&gt; - 10 • i: x -&gt; 17 - 4 x • j: x -&gt; x/11 • k: x -&gt; 13/x"/>
    <x v="10"/>
    <s v="Les fonctions g et j."/>
    <s v="QCM"/>
    <s v="Les fonctions g et j|Les fonctions f et h|Les fonctions g et i"/>
    <m/>
  </r>
  <r>
    <n v="511"/>
    <s v="Parmi ces fonctions, quelles sont celles qui sont des fonctions affines? • f: x -&gt; 3x2 - 8 • g: x -&gt; 9 x • h: x -&gt; - 10 • i: x -&gt; 17 - 4 x • j: x -&gt; x/11 • k: x -&gt; 13/x"/>
    <x v="10"/>
    <s v="Les fonctions g, h, i et j"/>
    <s v="QCM"/>
    <s v="Les fonctions g, h, i et j|Les fonctions g, h, et i|Les fonctions g, h, i et k"/>
    <m/>
  </r>
  <r>
    <n v="512"/>
    <s v="Quelle est l’expression de cette fonction dont voici la représentation graphique ?"/>
    <x v="10"/>
    <s v="f(x)=−1/4 x"/>
    <s v="QCM"/>
    <s v="f(x)=−1/4x|f(x)=1/4x|f(x)=1/2x"/>
    <s v="oui"/>
  </r>
  <r>
    <n v="513"/>
    <s v="Simplifier 340/2 754 (sans calculatrice)"/>
    <x v="9"/>
    <s v="340 = 2² x 5 x 17 2 754 = 2 x 3⁴ x 17 340/2 754 = 2 x 5 / 3⁴ 340/2 754 = 10/81"/>
    <s v="RDS"/>
    <d v="1981-10-01T00:00:00"/>
    <m/>
  </r>
  <r>
    <n v="514"/>
    <s v="Quel est le plus petit multiple commun de 8 et de 10 ?"/>
    <x v="9"/>
    <s v="C’est 40. 8 x 5 = 40 Et 10 x 4 = 40"/>
    <s v="RDS"/>
    <n v="40"/>
    <m/>
  </r>
  <r>
    <n v="515"/>
    <s v="Quel est le plus petit multiple commun de 9 et de 12 ?"/>
    <x v="9"/>
    <s v="C’est 36. 9 x 4 = 36 Et 12 x 3 = 36"/>
    <s v="RDS"/>
    <n v="36"/>
    <m/>
  </r>
  <r>
    <n v="516"/>
    <s v="Sans poser de division, quel est le reste de la division euclidienne de 1 609 par 16 ? (sans calculatrice)"/>
    <x v="9"/>
    <s v="C’est 9. 1 609 = 16 x 100 +9"/>
    <s v="RDS"/>
    <n v="9"/>
    <m/>
  </r>
  <r>
    <n v="517"/>
    <s v="Vrai ou faux ? « Tous les nombres premiers sont impairs »."/>
    <x v="9"/>
    <s v="Faux, car 2 est le seul nombre pair et premier."/>
    <s v="VF"/>
    <s v="F"/>
    <m/>
  </r>
  <r>
    <n v="518"/>
    <s v="Sans poser les calculs, le nombre 7 267 est-il divisible par 6 ? "/>
    <x v="9"/>
    <s v="Non, 7 267 n’est pas pair or pour qu’un nombre soit divisible par 6, il faut qu’il soit divisible par 2 et par 3."/>
    <s v="VF"/>
    <s v="F"/>
    <m/>
  </r>
  <r>
    <n v="519"/>
    <s v="Sans poser les calculs, le nombre 3 768 est-il divisible par 6 ? "/>
    <x v="9"/>
    <s v="Vrai 3 768 est divisible par 2 (il est pair) 3 768 est divisible par 3 (3+7+6+8 = 24 et 24 est dans la table de 3) 3 768 est divisible par 6."/>
    <s v="VF"/>
    <s v="V"/>
    <m/>
  </r>
  <r>
    <n v="520"/>
    <s v="Citer les 4 mots de vocabulaire liés à cette division euclidienne."/>
    <x v="9"/>
    <s v="26 est le dividende 3 est le diviseur 8 est le quotient 2 est le reste"/>
    <s v="RLD4"/>
    <s v="26| est le dividende |3| est le diviseur |8| est le quotient |2| est le reste"/>
    <s v="oui"/>
  </r>
  <r>
    <n v="521"/>
    <s v="Quelle formule faut-il inscrire dans la cellule D2 pour calculer le nombre 1 au carré ?"/>
    <x v="11"/>
    <s v="C’est =A2^2 ou = A2*A2 Ou = PUISSANCE(A2 ;2)"/>
    <s v="QCM"/>
    <s v="D2 =PUISSANCE(A2;2)|D2 =PUISSANCE(A2;A2)|D2 =MULTI(A2;A2) "/>
    <s v="oui"/>
  </r>
  <r>
    <n v="522"/>
    <s v="Quelle formule faut-il inscrire dans la cellule D2 pour calculer la somme des nombre 1, nombre 2 et nombre 3 ?"/>
    <x v="11"/>
    <s v="C’est =A2+B2+C2 ou = SOMME(A2 :C2)"/>
    <s v="QCM"/>
    <s v="D2 =SOMME(A2:C2)|D2 =SOMME(A2;B2;C2)|D2 =SOMME(A2:B2) "/>
    <s v="oui"/>
  </r>
  <r>
    <n v="523"/>
    <s v="Quelle formule faut-il inscrire dans la cellule D2 pour calculer la moyenne des nombre 1, nombre 2 et nombre 3 ?"/>
    <x v="11"/>
    <s v="C’est = MOYENNE(A2 :C2)"/>
    <s v="QCM"/>
    <s v="D2 =MOYENNE(A2:C2)|D2 =MOYENNE(A2+B2+C2)|D2 = MOYENNE(A2;B2;C2)"/>
    <s v="oui"/>
  </r>
  <r>
    <n v="524"/>
    <s v="Quelle formule faut-il inscrire dans la cellule D2 pour calculer la médiane des nombre 1, nombre 2 et nombre 3 ?"/>
    <x v="11"/>
    <s v="C’est = MEDIANE(A2 :C2)"/>
    <s v="QCM"/>
    <s v="D2 =MEDIANE(A2:C2)|D2 =MEDIANE(A2;B2;C2)|D2 =MEDIANE(A2+B2+C2)"/>
    <s v="oui"/>
  </r>
  <r>
    <n v="525"/>
    <s v="Quelle formule faut-il inscrire dans la cellule D2 pour calculer l’étendue de la série composée des nombre 1, nombre 2 et nombre 3 ?"/>
    <x v="11"/>
    <s v="C’est = MAX(A2 :C2) - MIN(A2 :C2)"/>
    <s v="QCM"/>
    <s v="D2 =MAX(A2:C2)−MIN(A2:C2)|D2 =MAX(A2;B2;C2)−MIN(A2;B2;C2)|D2 =MAX(A2:C2)+MIN(A2:C2)"/>
    <s v="oui"/>
  </r>
  <r>
    <n v="526"/>
    <s v="Quelle formule faut-il inscrire dans la cellule D2 pour calculer la différence entre le nombre 3 et le nombre 2 ?"/>
    <x v="11"/>
    <s v="C’est = C2 – B2"/>
    <s v="QCM"/>
    <s v="D2 =C2−B2|D2 =C2+B2|D2 =B2−C2"/>
    <s v="oui"/>
  </r>
  <r>
    <n v="527"/>
    <s v="Quelle formule faut-il inscrire dans la cellule D2 pour calculer le quotient du nombre 3 par le nombre 1 ?"/>
    <x v="11"/>
    <s v="C’est = C2 / A2"/>
    <s v="QCM"/>
    <s v="D2 =C2/A2|D2 =A2/B2|D2 =C2−A2"/>
    <s v="oui"/>
  </r>
  <r>
    <n v="528"/>
    <s v="Quelle formule faut-il inscrire dans la cellule D2 pour calculer le produit du nombre 2 et du nombre 1 ?"/>
    <x v="11"/>
    <s v="C’est = A2 * B2"/>
    <s v="QCM"/>
    <s v="D2 =A2∗B2|D2 =A2+B2|D2 =A2/B2"/>
    <s v="oui"/>
  </r>
  <r>
    <n v="529"/>
    <s v="Quel nombre obtient-on avec ce programme si l’on choisit 10 au départ ?"/>
    <x v="11"/>
    <s v="C’est 655"/>
    <s v="RDS"/>
    <n v="655"/>
    <s v="oui"/>
  </r>
  <r>
    <n v="530"/>
    <s v="Quel nombre obtient-on avec ce programme si l’on choisit 40 au départ ?"/>
    <x v="11"/>
    <s v="C’est 30"/>
    <s v="RDS"/>
    <n v="30"/>
    <s v="oui"/>
  </r>
  <r>
    <n v="531"/>
    <s v="Quel nombre obtient-on avec ce programme si l’on choisit 60 au départ ?"/>
    <x v="11"/>
    <s v="C’est 312"/>
    <s v="RDS"/>
    <n v="312"/>
    <s v="oui"/>
  </r>
  <r>
    <n v="532"/>
    <s v="Quel nombre obtient-on avec ce programme si l’on choisit 30 au départ ?"/>
    <x v="11"/>
    <s v="C’est 87"/>
    <s v="RDS"/>
    <n v="87"/>
    <s v="oui"/>
  </r>
  <r>
    <n v="533"/>
    <s v="Quel nombre obtient-on avec ce programme si l’on choisit 6 au départ ?"/>
    <x v="11"/>
    <s v="C’est 146"/>
    <s v="RDS"/>
    <n v="146"/>
    <s v="oui"/>
  </r>
  <r>
    <n v="534"/>
    <s v="Quel nombre obtient-on avec ce programme si l’on choisit 22 au départ ?"/>
    <x v="11"/>
    <s v="C’est 28."/>
    <s v="RDS"/>
    <n v="28"/>
    <s v="oui"/>
  </r>
  <r>
    <n v="535"/>
    <s v="Quel nombre obtient-on avec ce programme si l’on choisit 200 au départ ?"/>
    <x v="11"/>
    <s v="C’est 2 100"/>
    <s v="RDS"/>
    <n v="2100"/>
    <s v="oui"/>
  </r>
  <r>
    <n v="536"/>
    <s v="Quel nombre obtient-on avec ce programme si l’on choisit 100 au départ ?"/>
    <x v="11"/>
    <s v="C’est 900"/>
    <s v="RDS"/>
    <n v="900"/>
    <s v="oui"/>
  </r>
  <r>
    <n v="537"/>
    <s v="Quelle formule faut-il inscrire dans la cellule B4 pour calculer le nombre 2 au carré ?"/>
    <x v="11"/>
    <s v="C’est =B2^2 ou = B2*B2 Ou = PUISSANCE(B2 ;2)"/>
    <s v="QCM"/>
    <s v="B4 =B2²|B4 =B2+B2|B4 =PUISSANCE(B2;2)"/>
    <s v="oui"/>
  </r>
  <r>
    <n v="538"/>
    <s v="Quelle formule faut-il inscrire dans la cellule B4 pour calculer la somme des nombre 1, nombre 2 et nombre 3 ?"/>
    <x v="11"/>
    <s v="C’est =B1+B2+B3 ou = SOMME(B1 :B3)"/>
    <s v="QCM"/>
    <s v="B4 =SOMME(B1:B3)|B4 =SOMME(B1;B3)|B4 =SOMME(B1:B4)"/>
    <s v="oui"/>
  </r>
  <r>
    <n v="539"/>
    <s v="Quelle formule faut-il inscrire dans la cellule B4 pour calculer la moyenne des nombre 1, nombre 2 et nombre 3 ?"/>
    <x v="11"/>
    <s v="C’est = MOYENNE(B1 :B3)"/>
    <s v="QCM"/>
    <s v="B4 =MOYENNE(B1:B3)|B4 =AVERAGE(B1:B3)|B4 =MOYENNE(B1;B2;B3)"/>
    <s v="oui"/>
  </r>
  <r>
    <n v="540"/>
    <s v="Quelle formule faut-il inscrire dans la cellule B4 pour calculer la médiane des nombre 1, nombre 2 et nombre 3 ?"/>
    <x v="11"/>
    <s v="C’est = MEDIANE(B1 :B3)"/>
    <s v="QCM"/>
    <s v="B4 =MEDIANE(B1:B3)|B4 =MEDIANE(B1;B2)|B4 =MEDIANE(B1;B2;B3)"/>
    <s v="oui"/>
  </r>
  <r>
    <n v="541"/>
    <s v="Quelle formule faut-il inscrire dans la cellule B4 pour calculer l’étendue de la série composée des nombre 1, nombre 2 et nombre 3 ?"/>
    <x v="11"/>
    <s v="C’est = MAX(B1 :B3) - MIN(B1 :B3)"/>
    <s v="QCM"/>
    <s v="B4 =MAX(B1:B3)−MIN(B1:B3)|B4 =MAX(B1;B2;B3)+MIN(B1;B2;B3)|B4 =SOMME(B1:B3)−MIN(B1:B3)"/>
    <s v="oui"/>
  </r>
  <r>
    <n v="542"/>
    <s v="Quelle formule faut-il inscrire dans la cellule B4 pour calculer la différence entre le nombre 3 et le nombre 2 ?"/>
    <x v="11"/>
    <s v="C’est = B3 – B2"/>
    <s v="QCM"/>
    <s v="B4 =B3−B2|B4 =B2−B3|B4 =B3+B2"/>
    <s v="oui"/>
  </r>
  <r>
    <n v="543"/>
    <s v="Quelle formule faut-il inscrire dans la cellule B4 pour calculer le quotient du nombre 3 par le nombre 1 ?"/>
    <x v="11"/>
    <s v="C’est = B3 / B1"/>
    <s v="QCM"/>
    <s v="B4 =B3/B1|B4 =B3−B1|B4 =B1/B3"/>
    <s v="oui"/>
  </r>
  <r>
    <n v="544"/>
    <s v="Quelle formule faut-il inscrire dans la cellule B4 pour calculer le produit du nombre 2 et du nombre 1 ?"/>
    <x v="11"/>
    <s v="C’est = B1 * B2"/>
    <s v="QCM"/>
    <s v="B4 =B1∗B2|B4 =B1+B2|B4 =B1/B2"/>
    <s v="oui"/>
  </r>
  <r>
    <n v="545"/>
    <s v="Que faut-il rajouter dans le bloc pour se diriger vers l’Est ?"/>
    <x v="11"/>
    <s v="S’orienter à 90"/>
    <s v="QCM"/>
    <s v="S’orienter à 90|S’orienter à 45|S’orienter à -90"/>
    <s v="oui"/>
  </r>
  <r>
    <n v="546"/>
    <s v="Que faut-il rajouter dans le bloc pour se diriger vers le Nord ?"/>
    <x v="11"/>
    <s v="S’orienter à 0"/>
    <s v="QCM"/>
    <s v="S’orienter à 0|S’orienter à 90|S’orienter à 180"/>
    <s v="oui"/>
  </r>
  <r>
    <n v="547"/>
    <s v="Que faut-il rajouter dans le bloc pour se diriger vers le Sud ?"/>
    <x v="11"/>
    <s v="S’orienter à 180"/>
    <s v="QCM"/>
    <s v="S’orienter à 180|S’orienter à 0|S’orienter à -180"/>
    <s v="oui"/>
  </r>
  <r>
    <n v="548"/>
    <s v="Que faut-il rajouter dans le bloc pour se diriger vers l’Ouest ?"/>
    <x v="11"/>
    <s v="S’orienter à - 90"/>
    <s v="QCM"/>
    <s v="S’orienter à -90|S’orienter à 90|S’orienter à 180"/>
    <s v="oui"/>
  </r>
  <r>
    <n v="549"/>
    <s v="Compléter le script pour qu’il trace un triangle équilatéral de côté 80 pas."/>
    <x v="11"/>
    <s v="répéter 3 fois  avancer de 80 pas  tourner de 120 degrès"/>
    <s v="RLD3"/>
    <s v="3|répéter x fois, |80|avancer de x pas, |120|tourner de x degrès"/>
    <s v="oui"/>
  </r>
  <r>
    <n v="550"/>
    <s v="Compléter le script pour qu’il trace un carré de côté 100 pas."/>
    <x v="11"/>
    <s v="répéter 4 fois  avancer de 100 pas  tourner de 90 degrès"/>
    <s v="RLD3"/>
    <s v="4|répéter x fois, |100|avancer de x pas, |90|tourner de x degrès"/>
    <s v="oui"/>
  </r>
  <r>
    <n v="551"/>
    <s v="Compléter le script pour qu’il trace cet escalier dont la hauteur des marches est 50 pas et la profondeur 70 pas."/>
    <x v="11"/>
    <s v="répéter 3 fois  avancer de 50 pas  tourner de 90 degrès  avancer de 70 pas"/>
    <s v="RLD4"/>
    <s v="3|répéter x fois, |50|avancer de x pas, |90|tourner de x degrès, |70|avancer de x pas"/>
    <s v="oui"/>
  </r>
  <r>
    <n v="552"/>
    <s v="Compléter le script pour qu’il trace un pentagone régulier de côté de longueur 50 pas."/>
    <x v="11"/>
    <s v="répéter 5 fois  avancer de 50 pas  tourner de 72 degrès "/>
    <s v="RLD3"/>
    <s v="8|répéter x fois, |50|avancer de x pas, |72|tourner de x degrès"/>
    <s v="oui"/>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44">
  <r>
    <n v="1"/>
    <s v="Convertir 0,3 h en minutes"/>
    <s v="Proportionnalité"/>
    <s v="0,3 h = 0,3 x 60 min = 18 min"/>
    <x v="0"/>
    <s v="18min"/>
    <m/>
  </r>
  <r>
    <n v="2"/>
    <s v="À quelle vitesse moyenne roule-t-on si on parcourt 120 km en 1h30 ?"/>
    <s v="Proportionnalité"/>
    <s v="120 / 3 = 40 puis 40 x 2 = 80 km On roule à 80 km/h"/>
    <x v="0"/>
    <s v="80|80km/h"/>
    <m/>
  </r>
  <r>
    <n v="3"/>
    <s v="Quel pourcentage représente 120 élèves sur 300 ?"/>
    <s v="Proportionnalité"/>
    <s v="120/300 = 40/100. Ça représente 40 % "/>
    <x v="0"/>
    <s v="40|40%"/>
    <m/>
  </r>
  <r>
    <n v="4"/>
    <s v="Convertir 4,2 h en heures et minutes"/>
    <s v="Proportionnalité"/>
    <s v="4,2 h = 4h + 0,2 h = 4h + 0,2 x 60 min. Donc 4,2 h = 4h 12 min"/>
    <x v="0"/>
    <s v="4,2h|4h12min"/>
    <m/>
  </r>
  <r>
    <n v="5"/>
    <s v="Calculer 20 % de 150 € "/>
    <s v="Proportionnalité"/>
    <s v="20% x 150 = 0,2 x 150 = 30 € "/>
    <x v="0"/>
    <s v="30|30€"/>
    <m/>
  </r>
  <r>
    <n v="6"/>
    <s v="Un cycliste parcourt 4 km en 12 min. À quelle vitesse moyenne roule-t-il ? "/>
    <s v="Proportionnalité"/>
    <s v=" 12 min x 5 = 60 min donc 4 km x 5 = 20 km. Le cycliste roule à 20 km/h en moyenne. "/>
    <x v="0"/>
    <s v="20km/h"/>
    <m/>
  </r>
  <r>
    <n v="7"/>
    <s v="Quel pourcentage représente 3 élèves sur 4 ? "/>
    <s v="Proportionnalité"/>
    <s v="3 élèves sur 4, c’est aussi 3/4 soit 75/100. Ça représente 75 % "/>
    <x v="0"/>
    <s v="75|75%"/>
    <m/>
  </r>
  <r>
    <n v="8"/>
    <s v="Convertir 5h06 min en heures."/>
    <s v="Proportionnalité"/>
    <s v="5h + 6/60 h = 5,1 h "/>
    <x v="0"/>
    <s v="5,1h"/>
    <m/>
  </r>
  <r>
    <n v="9"/>
    <s v="Convertir 1,6 h en minutes "/>
    <s v="Proportionnalité"/>
    <s v="1,6 h = 1,6 x 60 min = 96 min"/>
    <x v="0"/>
    <s v="96min"/>
    <m/>
  </r>
  <r>
    <n v="10"/>
    <s v="À quelle vitesse moyenne (en km/h) roule-t-on si on parcourt 100 m en 15 sec ? "/>
    <s v="Proportionnalité"/>
    <s v="3 600 / 15 = 240 puis 240 x 100 = 24 000 m On roule à 24 km/h"/>
    <x v="0"/>
    <s v="24|24km/h"/>
    <m/>
  </r>
  <r>
    <n v="11"/>
    <s v="Quel est le coefficient multiplicateur dans une augmentation de 20 % ? "/>
    <s v="Proportionnalité"/>
    <s v="100 % + 20 % = 120 % Le coefficient est 1,2"/>
    <x v="0"/>
    <n v="1.2"/>
    <m/>
  </r>
  <r>
    <n v="12"/>
    <s v="Quel est le coefficient multiplicateur dans une réduction de 60 % ?"/>
    <s v="Proportionnalité"/>
    <s v="100 % - 60 % = 40 % Le coefficient est 0,4"/>
    <x v="0"/>
    <n v="0.4"/>
    <m/>
  </r>
  <r>
    <n v="13"/>
    <s v="Quel est le coefficient multiplicateur dans une augmentation de 65 % ?"/>
    <s v="Proportionnalité"/>
    <s v="100 % + 65 % = 165 % Le coefficient est 1,65"/>
    <x v="0"/>
    <n v="1.65"/>
    <m/>
  </r>
  <r>
    <n v="14"/>
    <s v="Quel est le coefficient multiplicateur dans une réduction de 35 % ?"/>
    <s v="Proportionnalité"/>
    <s v="100 % - 35 % = 65 % Le coefficient est 0,65"/>
    <x v="0"/>
    <n v="0.65"/>
    <m/>
  </r>
  <r>
    <n v="15"/>
    <s v="Timothée décide de partager ses cartes pokemon à Elimane et César selon le ratio 6 : 2. Timothée a 40 cartes, combien doit-il en donner à Elimane et César ?"/>
    <s v="Proportionnalité"/>
    <s v="Le ratio 6 : 2 revient au ratio 3 : 1, donc Elimane reçoit les 3/4 des cartes et César le quart restant. Elimane reçoit 30 cartes et César 10 cartes."/>
    <x v="1"/>
    <s v="30| cartes pour Elimane|10| cartes pour César"/>
    <m/>
  </r>
  <r>
    <n v="16"/>
    <s v="Timothée décide de partager ses billes à Elimane et César selon le ratio 15 : 3. Timothée a 120 billes, combien doit-il en donner à Elimane et César ?"/>
    <s v="Proportionnalité"/>
    <s v="Le ratio 15 : 3 revient au ratio 5 : 1, donc Elimane reçoit les 5/6 des cartes et César le sixième restant. Elimane reçoit 100 billes et César 20 billes"/>
    <x v="1"/>
    <s v="100| billes pour Elimane|20| billes pour César"/>
    <m/>
  </r>
  <r>
    <n v="17"/>
    <s v="Que signifie : 2 angles sont complémentaires ?"/>
    <s v="Géométrie"/>
    <s v="La somme de leur mesure est égale à 90°."/>
    <x v="0"/>
    <s v="90°"/>
    <m/>
  </r>
  <r>
    <n v="18"/>
    <s v="Que signifie : 2 angles sont supplémentaires ?"/>
    <s v="Géométrie"/>
    <s v="La somme de leur mesure est égale à 180°."/>
    <x v="0"/>
    <s v="180°"/>
    <m/>
  </r>
  <r>
    <n v="19"/>
    <s v="Quelle est la définition d’un parallélogramme ?"/>
    <s v="Géométrie"/>
    <s v="C’est un quadrilatère qui a ses côtés opposés 2 à 2 parallèles"/>
    <x v="2"/>
    <s v="C’est un quadrilatère qui a ses côtés opposés 2 à 2 parallèles|C’est un quadrilatère qui a ses 4 côtés de même longueur|C’est un quadrilatère qui a 4 angles droits.|C’est un quadrilatère qui a ses 4 côtés de même longueur et 4 angles droits."/>
    <m/>
  </r>
  <r>
    <n v="20"/>
    <s v="Quelle est la définition d’un losange ?"/>
    <s v="Géométrie"/>
    <s v="C’est un quadrilatère qui a ses 4 côtés de même longueur "/>
    <x v="2"/>
    <s v="C’est un quadrilatère qui a ses 4 côtés de même longueur|C’est un quadrilatère qui a 4 angles droits.|C’est un quadrilatère qui a ses 4 côtés de même longueur et 4 angles droits.|C’est un quadrilatère qui a ses côtés opposés 2 à 2 parallèles"/>
    <m/>
  </r>
  <r>
    <n v="21"/>
    <s v="Quelle est la définition d’un rectangle ?"/>
    <s v="Géométrie"/>
    <s v="C’est un quadrilatère qui a 4 angles droits."/>
    <x v="2"/>
    <s v="C’est un quadrilatère qui a 4 angles droits.|C’est un quadrilatère qui a ses 4 côtés de même longueur et 4 angles droits.|C’est un quadrilatère qui a ses côtés opposés 2 à 2 parallèles|C’est un quadrilatère qui a ses 4 côtés de même longueur"/>
    <m/>
  </r>
  <r>
    <n v="22"/>
    <s v="Quelle est la définition d’un carré ?"/>
    <s v="Géométrie"/>
    <s v="C’est un quadrilatère qui a ses 4 côtés de même longueur et 4 angles droits."/>
    <x v="2"/>
    <s v="C’est un quadrilatère qui a ses 4 côtés de même longueur et 4 angles droits.|C’est un quadrilatère qui a ses côtés opposés 2 à 2 parallèles|C’est un quadrilatère qui a ses 4 côtés de même longueur|C’est un quadrilatère qui a 4 angles droits."/>
    <m/>
  </r>
  <r>
    <n v="23"/>
    <s v="Combien vaut la somme des mesures des 3 angles d’un triangle ?"/>
    <s v="Géométrie"/>
    <s v="ll vaut 180 °."/>
    <x v="0"/>
    <s v="180°"/>
    <m/>
  </r>
  <r>
    <n v="24"/>
    <s v="Citer l’inégalité triangulaire : quand est-ce qu’un triangle est constructible ?"/>
    <s v="Géométrie"/>
    <s v="La somme des longueurs des 2 plus petits côtés d’un triangle doit être supérieure à la longueur du plus grand côté."/>
    <x v="2"/>
    <s v=" La somme des longueurs des 2 plus petits côtés d’un triangle doit être supérieure à la longueur du plus grand côté.|La somme des longueurs des 2 côtés les plus longs doit être égale à la longueur du plus petit côté.|La somme des longueurs des 2 côtés les plus petits doit être inférieure à la longueur du plus grand côté.|La différence entre les longueurs des 2 plus grands côtés doit être inférieure à la longueur du plus petit côté."/>
    <m/>
  </r>
  <r>
    <n v="25"/>
    <s v="Quelle est la condition pour pouvoir appliquer le théorème de Pythagore ? "/>
    <s v="Géométrie"/>
    <s v="Il faut se situer dans un triangle rectangle."/>
    <x v="2"/>
    <s v="Il faut se situer dans un triangle rectangle.|Il faut se situer dans un triangle isocèle.|Il faut se situer dans un triangle équilatéral."/>
    <m/>
  </r>
  <r>
    <n v="26"/>
    <s v="ABC est un triangle rectangle en C. Quelle est l’égalité de Pythagore ?"/>
    <s v="Géométrie"/>
    <s v="AB² = AC² + BC²"/>
    <x v="3"/>
    <s v="AB² = AC² + BC²|AB² = AC² - BC²|AB² = BC² - AC²"/>
    <m/>
  </r>
  <r>
    <n v="27"/>
    <s v="Quelle est la mesure de chaque angle dans un triangle équilatéral ?"/>
    <s v="Géométrie"/>
    <s v="Elle vaut 60 °."/>
    <x v="0"/>
    <s v="60°"/>
    <m/>
  </r>
  <r>
    <n v="28"/>
    <s v="ABC est un triangle rectangle en C. Quelle est la formule permettant de calculer le cosinus de l’angle  ABC ?"/>
    <s v="Géométrie"/>
    <s v="cos (ABC) = BC / BA"/>
    <x v="2"/>
    <s v="cos (ABC) = BC / BA|cos (ABC) = AC / BC|cos (ABC) = BA / BC"/>
    <m/>
  </r>
  <r>
    <n v="29"/>
    <s v="ABC est un triangle rectangle en C. Quelle est la formule permettant de calculer le sinus de l’angle ABC?"/>
    <s v="Géométrie"/>
    <s v="sin (ABC) = AC / BA"/>
    <x v="2"/>
    <s v="sin (ABC) = AC / BA|sin (ABC) = BC / BA|sin (ABC) = BA / AC"/>
    <m/>
  </r>
  <r>
    <n v="30"/>
    <s v="ABC est un triangle rectangle en C. Quelle est la formule permettant de calculer la tangente de l’angle ABC ?"/>
    <s v="Géométrie"/>
    <s v="tan (ABC) = AC / BC"/>
    <x v="2"/>
    <s v="tan (ABC) = AC / BC|tan (ABC) = BC / AC|tan (ABC) = BA / AC"/>
    <m/>
  </r>
  <r>
    <n v="31"/>
    <s v="Quelle propriété possède 2 angles opposés par le sommet ?"/>
    <s v="Géométrie"/>
    <s v="Ils sont de même mesure."/>
    <x v="2"/>
    <s v="Ils sont de même mesure.|Ils sont complémentaires.|Ils sont adjacents."/>
    <m/>
  </r>
  <r>
    <n v="32"/>
    <s v="Comment caractériser 2 angles alternes internes formés par 2 droites (d) et (d’) et la sécante (d’’) ?"/>
    <s v="Géométrie"/>
    <s v="Les 2 angles sont entre (d) et (d’), ils sont de part et d’autre de la sécante ()′′) et ils n’ont pas le même sommet"/>
    <x v="2"/>
    <s v="Les 2 angles sont entre (d) et (d’), ils sont de part et d’autre de la sécante (d’’) et ils n’ont pas le même sommet.|Les 2 angles sont sur le même côté de la sécante et ont le même sommet.|L’un des 2 angles est entre (d) et (d’) et l’autre est à l’extérieur, ils sont du même côté de la sécante (d’’) et ils n’ont pas le même sommet."/>
    <m/>
  </r>
  <r>
    <n v="33"/>
    <s v="Comment caractériser 2 angles correspondants formés par 2 droites (d) et (d’) et la sécante (d’’) ?"/>
    <s v="Géométrie"/>
    <s v="L’un des 2 angles est entre (d) et (d’) et  l’autre est à l’extérieur, ils sont du même  côté de la sécante (d′′) et ils n’ont pas le même sommet."/>
    <x v="2"/>
    <s v="L’un des 2 angles est entre (d) et (d’) et l’autre est à l’extérieur, ils sont du même côté de la sécante (d’’) et ils n’ont pas le même sommet.|Les 2 angles sont entre (d) et (d’), ils sont de part et d’autre de la sécante (d’’) et ils n’ont pas le même sommet.|Les 2 angles sont sur le même sommet et même côté de la sécante."/>
    <m/>
  </r>
  <r>
    <n v="34"/>
    <s v="Les angles alternes internes ou correspondants sont-ils toujours de même mesure ? "/>
    <s v="Géométrie"/>
    <s v="Non, il faut qu’ils soient formés par des droites parallèles."/>
    <x v="4"/>
    <s v="F"/>
    <m/>
  </r>
  <r>
    <n v="35"/>
    <s v="Quelle est la définition de la médiatrice d’un segment ?"/>
    <s v="Géométrie"/>
    <s v="C’est une droite qui passe par le milieu d’un segment perpendiculairement."/>
    <x v="2"/>
    <s v="C’est une droite qui passe par le milieu d’un segment perpendiculairement.|C’est une droite qui partage un angle en 2 angles adjacents de même mesure.|C’est une droite qui passe par un sommet du triangle et qui passe par le milieu de son côté opposé."/>
    <m/>
  </r>
  <r>
    <n v="36"/>
    <s v="Quelle est la définition de la bissectrice d’un angle ?"/>
    <s v="Géométrie"/>
    <s v="C’est une droite qui partage un angle en 2 angles adjacents de même mesure."/>
    <x v="2"/>
    <s v="C’est une droite qui partage un angle en 2 angles adjacents de même mesure.|C’est une droite qui passe par un sommet du triangle et qui passe perpendiculairement au côté opposé.|C’est une droite qui passe par le milieu d’un segment perpendiculairement."/>
    <m/>
  </r>
  <r>
    <n v="37"/>
    <s v="Quelle est la définition de la hauteur d’un triangle ?"/>
    <s v="Géométrie"/>
    <s v="C’est une droite qui passe par un sommet du triangle et qui passe perpendiculairement au côté opposé."/>
    <x v="2"/>
    <s v="C’est une droite qui passe par un sommet du triangle et qui passe perpendiculairement au côté opposé.|C’est une droite qui partage un angle en 2 angles adjacents de même mesure.|C’est une droite qui passe par le milieu d’un segment perpendiculairement."/>
    <m/>
  </r>
  <r>
    <n v="38"/>
    <s v="Quelle est la définition de la médiane d’un triangle ?"/>
    <s v="Géométrie"/>
    <s v="C’est une droite qui passe par un sommet du triangle et qui passe par le milieu de son côté opposé."/>
    <x v="2"/>
    <s v="C’est une droite qui passe par un sommet du triangle et qui passe par le milieu de son côté opposé.|C’est une droite qui passe par un sommet du triangle et qui passe perpendiculairement au côté opposé.|C’est une droite qui passe par le milieu d’un segment perpendiculairement."/>
    <m/>
  </r>
  <r>
    <n v="39"/>
    <s v="Quelle est la définition précise d’un triangle isocèle ?"/>
    <s v="Géométrie"/>
    <s v="C’est un polygone à 3 sommets (ou 3 côtés) qui a 2 côtés de même longueur."/>
    <x v="2"/>
    <s v="C’est un polygone à 3 sommets (ou 3 côtés) qui a 2 côtés de même longueur.|C’est un polygone à 3 côtés de même longueur.|C’est un polygone à 3 sommets dont tous les angles sont égaux."/>
    <m/>
  </r>
  <r>
    <n v="40"/>
    <s v="Quelle est la définition précise d’un triangle équilatéral ?"/>
    <s v="Géométrie"/>
    <s v="C’est un polygone à 3 sommets (ou 3 côtés) qui a 3 côtés de même longueur."/>
    <x v="2"/>
    <s v="C’est un polygone à 3 sommets (ou 3 côtés) qui a 3 côtés de même longueur.|C’est un polygone avec 2 côtés égaux et un angle droit.|C’est un polygone avec un seul axe de symétrie."/>
    <m/>
  </r>
  <r>
    <n v="41"/>
    <s v="Citer les propriétés des triangles isocèles (axe(s) et centre de symétrie, côtés, angles)"/>
    <s v="Géométrie"/>
    <s v="1 axe de symétrie : la médiatrice de sa base 0 centre de symétrie 2 côtés de même longueur 2 angles à sa base de même mesure"/>
    <x v="2"/>
    <s v="1 axe de symétrie : la médiatrice de sa base 0 centre de symétrie 2 côtés de même longueur 2 angles à sa base de même mesure.|2 axes de symétrie : les médiatrices des côtés 1 centre de symétrie 2 côtés de même longueur 2 angles différents.|0 axe de symétrie 1 centre de symétrie 3 côtés de même longueur 3 angles de même mesure.|"/>
    <m/>
  </r>
  <r>
    <n v="42"/>
    <s v="Citer les propriétés des triangles équilatéraux (axe(s) et centre de symétrie, côtés, angles)"/>
    <s v="Géométrie"/>
    <s v="3 axes de symétrie : les médiatrices de ses côtés 0 centre de symétrie 3 côtés de même longueur 3 angles de même mesure"/>
    <x v="2"/>
    <s v="3 axes de symétrie : les médiatrices de ses côtés 0 centre de symétrie 3 côtés de même longueur 3 angles de même mesure.|1 axe de symétrie 0 centre de symétrie 2 côtés de même longueur 2 angles de même mesure.|2 axes de symétrie : les diagonales 1 centre de symétrie 3 côtés de même longueur 3 angles différents."/>
    <m/>
  </r>
  <r>
    <n v="43"/>
    <s v="Citer les propriétés des rectangles (axe(s) et centre de symétrie, côtés, angles, diagonales)"/>
    <s v="Géométrie"/>
    <s v="2 axes de symétrie : la médiatrice des côtés 1 centre de symétrie Côtés opposés 2 à 2 parallèles et de même longueur. 4 angles droits Diagonales qui se coupent en leur milieu et qui sont de même longueur"/>
    <x v="2"/>
    <s v="2 axes de symétrie : la médiatrice des côtés 1 centre de symétrie Côtés opposés 2 à 2 parallèles et de même longueur 4 angles droits Diagonales qui se coupent en leur milieu et qui sont de même longueur.|1 axe de symétrie 0 centre de symétrie Côtés parallèles, mais de longueur différente 4 angles droits Diagonales qui se coupent en leur milieu, mais qui sont de longueurs différentes.|0 axe de symétrie 1 centre de symétrie Côtés opposés égaux 4 angles droits Diagonales perpendiculaires qui ne se coupent pas en leur milieu."/>
    <m/>
  </r>
  <r>
    <n v="44"/>
    <s v="Citer les propriétés d’un triangle rectangle (axe(s) et centre de symétrie, côtés, angles)"/>
    <s v="Géométrie"/>
    <s v="0 axe de symétrie 0 centre de symétrie 0 côté de même longueur 1 angle droit"/>
    <x v="2"/>
    <s v="0 axe de symétrie 0 centre de symétrie 0 côté de même longueur 1 angle droit.|1 axe de symétrie 0 centre de symétrie 2 côtés de même longueur 1 angle droit.|2 axes de symétrie 1 centre de symétrie 3 côtés de même longueur 3 angles droits."/>
    <m/>
  </r>
  <r>
    <n v="45"/>
    <s v="Citer les propriétés des losanges (axe(s) et centre de symétrie, côtés, angles, diagonales)"/>
    <s v="Géométrie"/>
    <s v="2 axes de symétrie : les diagonales 1 centre de symétrie Côtés opposés 2 à 2 parallèles. 4 côtés de même longueur Diagonales qui se coupent en leur milieu et qui sont perpendiculaires"/>
    <x v="2"/>
    <s v="2 axes de symétrie : les diagonales 1 centre de symétrie Côtés opposés 2 à 2 parallèles 4 côtés de même longueur Diagonales qui se coupent en leur milieu et qui sont perpendiculaires.|2 axes de symétrie : les médiatrices des côtés 0 centre de symétrie Côtés opposés de longueurs différentes Diagonales perpendiculaires qui ne se coupent pas en leur milieu.|1 axe de symétrie 1 centre de symétrie Côtés opposés parallèles, mais de longueurs différentes 4 côtés de même longueur Diagonales qui ne sont pas perpendiculaires."/>
    <m/>
  </r>
  <r>
    <n v="46"/>
    <s v="Citer les propriétés des carrés (axe(s) et centre de symétrie, côtés, angles, diagonales)"/>
    <s v="Géométrie"/>
    <s v="4 axes de symétrie : la médiatrice des côtés et les diagonales 1 centre de symétrie Côtés opposés 2 à 2 parallèles 4 côtés de même longueur Les diagonales se coupent en leur milieu, sont de même longueur et sont perpendiculaires 4 angles droits"/>
    <x v="2"/>
    <s v="4 axes de symétrie : la médiatrice des côtés et les diagonales 1 centre de symétrie Côtés opposés 2 à 2 parallèles 4 côtés de même longueur Diagonales perpendiculaires de même longueur qui se coupent en leur milieu 4 angles droits.|2 axes de symétrie : la diagonale et la médiatrice 1 centre de symétrie Côtés opposés parallèles, mais de longueurs différentes 4 angles droits Diagonales perpendiculaires qui ne se coupent pas en leur milieu.|1 axe de symétrie 0 centre de symétrie Côtés égaux 3 angles droits Diagonales qui se coupent en leur milieu, mais qui sont de longueurs différentes."/>
    <m/>
  </r>
  <r>
    <n v="47"/>
    <s v="Citer les propriétés des parallélogrammes (axe(s) et centre de symétrie, côtés, angles, diagonales)"/>
    <s v="Géométrie"/>
    <s v="0 axe de symétrie 1 centre de symétrie Côtés opposés 2 à 2 parallèles et de même longueur. Diagonales qui se coupent en leur milieu"/>
    <x v="2"/>
    <s v="0 axe de symétrie 1 centre de symétrie Côtés opposés 2 à 2 parallèles et de même longueur Diagonales qui se coupent en leur milieu.|1 axe de symétrie 0 centre de symétrie Côtés opposés parallèles, mais de longueurs différentes Diagonales qui ne se coupent pas en leur milieu.|2 axes de symétrie 1 centre de symétrie Côtés opposés 2 à 2 parallèles, mais de longueurs différentes Diagonales de longueurs égales qui ne se coupent pas."/>
    <m/>
  </r>
  <r>
    <n v="48"/>
    <s v="Que faut-il au losange pour obtenir un carré ?"/>
    <s v="Géométrie"/>
    <s v="Le losange doit avoir un 1 angle droit ou des diagonales de même longueur"/>
    <x v="2"/>
    <s v="Le losange doit avoir 1 angle droit ou des diagonales de même longueur.|Le losange doit avoir 2 angles droits et des côtés de même longueur.|Le losange doit avoir 3 angles droits et des diagonales perpendiculaires."/>
    <m/>
  </r>
  <r>
    <n v="49"/>
    <s v="Sachant que (EF) et (GH) sont parallèles, quels sont les quotients de Thalès associés à cette figure ?"/>
    <s v="Géométrie"/>
    <s v="DF/DG = DE/DH = EF/GH"/>
    <x v="2"/>
    <s v="DF/DG = DE/DH = EF/GH|DF/DH = DE/DG = EF/GH|DF/DE = DG/DH = EF/GH"/>
    <s v="oui"/>
  </r>
  <r>
    <n v="50"/>
    <s v="Sachant que (EC) et (AB) sont parallèles, quels sont les quotients de Thalès associés à cette figure ?"/>
    <s v="Géométrie"/>
    <s v="DB/DC = DA/DE = AB/EC"/>
    <x v="2"/>
    <s v="DB/DC = DA/DE = AB/EC|DB/DE = DA/DC = AB/EC|DA/DB = DC/DE = AB/EC"/>
    <s v="oui"/>
  </r>
  <r>
    <n v="51"/>
    <s v="(EF) et (GH) sont-elles parallèles ?"/>
    <s v="Géométrie"/>
    <s v="3/5 = 0,6 et 4/6 ≈ 0,6 Les quotients ne sont pas égaux donc les droites ne sont pas parallèles."/>
    <x v="4"/>
    <s v="F"/>
    <s v="oui"/>
  </r>
  <r>
    <n v="52"/>
    <s v="(EF) et (GH) sont-elles parallèles ?"/>
    <s v="Géométrie"/>
    <s v="3/5 = 0,6 et 6/10 = 0,6 Les quotients sont égaux donc les droites sont parallèles."/>
    <x v="4"/>
    <s v="V"/>
    <s v="oui"/>
  </r>
  <r>
    <n v="53"/>
    <s v="(AB) et (EC) sont-elles parallèles ?"/>
    <s v="Géométrie"/>
    <s v="3/9 = 1/3 et 18/6 = 3 Les quotients ne sont pas égaux donc les parallèles ne sont pas parallèles."/>
    <x v="4"/>
    <s v="F"/>
    <s v="oui"/>
  </r>
  <r>
    <n v="54"/>
    <s v="(AB) et (EC) sont-elles parallèles ?"/>
    <s v="Géométrie"/>
    <s v="3/9 = 1/3 et 6/18 = 1/3 Les quotients sont égaux donc les droites sont parallèles."/>
    <x v="4"/>
    <s v="V"/>
    <s v="oui"/>
  </r>
  <r>
    <n v="55"/>
    <s v="Citer la formule pour calculer le périmètre d’un disque"/>
    <s v="Géométrie"/>
    <s v="2 x π x rayon"/>
    <x v="2"/>
    <s v="2 x π x rayon|π x rayon^2|2 x π x diamètre"/>
    <m/>
  </r>
  <r>
    <n v="56"/>
    <s v="Quelle est la définition de 2 triangles égaux ?"/>
    <s v="Géométrie"/>
    <s v="Deux triangles sont égaux s’ils ont les longueurs des côtés homologues sont de même mesure."/>
    <x v="2"/>
    <s v="Deux triangles sont égaux s’ils ont les longueurs des côtés homologues sont de même mesure.|Deux triangles sont égaux s’Ils ont les côtés non égaux mais les mêmes angles.|Deux triangles sont égaux s’Ils ont les angles opposés égaux."/>
    <m/>
  </r>
  <r>
    <n v="65"/>
    <s v="Sachant que (EF) et (GH) sont parallèles, quelle est la longueur DH ?"/>
    <s v="Géométrie"/>
    <s v=" DF/DG = DE/DH = EF/GH  2/6 = 1,2/DH  DH = 3,6"/>
    <x v="0"/>
    <n v="3.6"/>
    <s v="oui"/>
  </r>
  <r>
    <n v="66"/>
    <s v="Sachant que (EF) et (GH) sont parallèles, quelle est la longueur DG ?"/>
    <s v="Géométrie"/>
    <s v=" DF/DG = DE/DH = EF/GH  0,6/DG = 3/11  DG = 2,2"/>
    <x v="0"/>
    <n v="2.2000000000000002"/>
    <s v="oui"/>
  </r>
  <r>
    <n v="67"/>
    <s v="Sachant que (EF) et (GH) sont parallèles, quelle est la longueur EF ?"/>
    <s v="Géométrie"/>
    <s v=" DF/DG = DE/DH = EF/GH  EF/3 = 10,5/15  EF = 2,1"/>
    <x v="0"/>
    <n v="2.1"/>
    <s v="oui"/>
  </r>
  <r>
    <n v="68"/>
    <s v="Sachant que (EF) et (GH) sont parallèles, quelle est la longueur GH ?"/>
    <s v="Géométrie"/>
    <s v=" DF/DG = DE/DH = EF/GH  1,1/GH = 4,4/16  GH = 4"/>
    <x v="0"/>
    <n v="4"/>
    <s v="oui"/>
  </r>
  <r>
    <n v="69"/>
    <s v="Sachant que (AB) et (EC) sont parallèles, quelle est la longueur ED ?"/>
    <s v="Géométrie"/>
    <s v="DB/DC = DA/DE = AB/EC  3/8 = 18/DE  DE = 48"/>
    <x v="0"/>
    <n v="48"/>
    <s v="oui"/>
  </r>
  <r>
    <n v="70"/>
    <s v="Sachant que (AB) et (EC) sont parallèles, quelle est la longueur EC ?"/>
    <s v="Géométrie"/>
    <s v="DB/DC = DA/DE = AB/EC  4/5 = 08/CE  CE = 12,5"/>
    <x v="0"/>
    <n v="12.5"/>
    <s v="oui"/>
  </r>
  <r>
    <n v="71"/>
    <s v="Peut-on appliquer le théorème de Thalès ? Justifier. Si oui, quels sont les quotients égaux ?"/>
    <s v="Géométrie"/>
    <s v="Oui car si 2 droites sont perpendiculaires  à une même droite alors elles sont  parallèles entre elles. Ici, (MN) et (AB) sont perpendiculaires à (AN) donc :  (MN) // (AB)  ON/OA = OM/OB= MN/AB"/>
    <x v="4"/>
    <s v="V"/>
    <s v="oui"/>
  </r>
  <r>
    <n v="72"/>
    <s v="Peut-on appliquer le théorème de Thalès ? Justifier. Si oui, quels sont les quotients égaux ?"/>
    <s v="Géométrie"/>
    <s v="Non On ne sait pas si (AB) et (EC) sont parallèles."/>
    <x v="4"/>
    <s v="F"/>
    <s v="oui"/>
  </r>
  <r>
    <n v="73"/>
    <s v="Quelle est la longueur MN ?"/>
    <s v="Géométrie"/>
    <s v="On utilise le théorème de Pythagore dans le triangle MNO rectangle en N : MO² = MN² + NO² MN² = 62 – 42 MN² = 36 – 16 = 20 MN = √20"/>
    <x v="0"/>
    <s v="√20"/>
    <s v="oui"/>
  </r>
  <r>
    <n v="74"/>
    <s v="Quelle est la longueur AB ?"/>
    <s v="Géométrie"/>
    <s v="(MN) et (AB) sont perpendiculaires à (NA) donc (MN)//(AB) On utilise le théorème de Thalès: OB = 42 On utilise le théorème de Pythagore dans le triangle ABO rectangle en A : BO² = OA² + AB² AB² = 42²– 28² AB² = 980 AB = √980"/>
    <x v="0"/>
    <s v="√980"/>
    <s v="oui"/>
  </r>
  <r>
    <n v="75"/>
    <s v="Quelle est la mesure de l’angle MON arrondie au degré ?"/>
    <s v="Géométrie"/>
    <s v="On utilise la formule du cosinus d’un angle dans le triangle MNO rectangle en N : cos(MON)= NO/MO = 4/6   MON=cos^−1(4/6 )≈-48°"/>
    <x v="0"/>
    <s v="48|48°"/>
    <s v="oui"/>
  </r>
  <r>
    <n v="76"/>
    <s v="Quelle est la mesure de l’angle NMO arrondie au degré ?"/>
    <s v="Géométrie"/>
    <s v="On utilise la formule du sinus d’un angle dans le triangle MNO rectangle en N : sin(OMN)= NO/MO = 4/6   OMN=sin^−1(4/6 )≈-42°"/>
    <x v="0"/>
    <s v="42|42°"/>
    <s v="oui"/>
  </r>
  <r>
    <n v="77"/>
    <s v="On se place dans un triangle rectangle. Parmi ces résultats, lesquels sont impossibles ? a/ cos (angle) ≈ 1,4 b/ cos (105) c/ cos (angle) ≈ - 0,5 d/ cos (angle) ≈ 0,99"/>
    <s v="Géométrie"/>
    <s v="Réponses a/, b/ c/ car : a/ et c/ car le cosinus d’un angle est compris entre 0 et 1 inclus. b/ Dans un triangle rectangle, les angles sont aigus donc les angles doivent être inférieurs ou égaux à 90°"/>
    <x v="2"/>
    <s v="a/, b/ c/|a/, b/ d/|b/, c/ d/"/>
    <m/>
  </r>
  <r>
    <n v="78"/>
    <s v="Voici l’extrait du tableur dans le logiciel de géométrie géogebra. Que faut-il saisir comme formule dans B2 et dans B3 ?"/>
    <s v="Géométrie"/>
    <s v="On saisit dans B2 : = YL / LS On saisit dans B3 : = YS / SL"/>
    <x v="2"/>
    <s v="On saisit dans B2 : = YL / LS, dans B3 : = YS / SL|On saisit dans B2 : = LS / YL, dans B3 : = SL / YS|On saisit dans B2 : = YL * LS, dans B3 : = YS * SL"/>
    <s v="oui"/>
  </r>
  <r>
    <n v="79"/>
    <s v="Déterminer l’arrondi au mm près de DB."/>
    <s v="Géométrie"/>
    <s v="On utilise la formule du cosinus d’un angle dans le triangle ABD rectangle en A : cos(61)= 72/DB  DB = 72/cos (61)   DB ≈ 148,5 mm "/>
    <x v="0"/>
    <s v="148,5 mm|72/cos(61) mm"/>
    <s v="oui"/>
  </r>
  <r>
    <n v="80"/>
    <s v="Déterminer l’arrondi au mm près de AB"/>
    <s v="Géométrie"/>
    <s v="On utilise la formule de la tangente d’un angle dans le triangle ABD rectangle en A : tan(61)= AB/78  AB=72 ×tan (61)   AB ≈ 130 mm "/>
    <x v="0"/>
    <s v="130 mm|78 * tan(61) mm |78 x tan(61) mm |78 × tan(61) mm"/>
    <s v="oui"/>
  </r>
  <r>
    <n v="81"/>
    <s v="Comment s’appellent ces lignes imaginaires ?"/>
    <s v="Géométrie dans l’espace"/>
    <s v="Ce sont des méridiens."/>
    <x v="2"/>
    <s v="Ce sont des méridiens.|Ce sont des parallèles.| Ce sont des longitudes."/>
    <s v="oui"/>
  </r>
  <r>
    <n v="82"/>
    <s v="Comment s’appelle la mesure indiquée sur ces lignes imaginaires ?"/>
    <s v="Géométrie dans l’espace"/>
    <s v="Il s’agit de la longitude"/>
    <x v="2"/>
    <s v="Il s’agit de la longitude.|Il s’agit de la latitude.|Il s’agit de l'altitude."/>
    <s v="oui"/>
  </r>
  <r>
    <n v="83"/>
    <s v="Comment s’appelle le méridien qui a pour longitude 0° ?"/>
    <s v="Géométrie dans l’espace"/>
    <s v="C’est le méridien de Greenwich"/>
    <x v="2"/>
    <s v="C’est le méridien de Greenwich.|C’est l’équateur.|C’est le méridien de Paris."/>
    <s v="oui"/>
  </r>
  <r>
    <n v="84"/>
    <s v="Comment s’appellent ces lignes imaginaires ?"/>
    <s v="Géométrie dans l’espace"/>
    <s v="Ce sont des parallèles"/>
    <x v="2"/>
    <s v="Ce sont des parallèles.|Ce sont des méridiens.|Ce sont des axes."/>
    <s v="oui"/>
  </r>
  <r>
    <n v="85"/>
    <s v="Comment s’appelle la parallèle qui a pour latitude 0° ?"/>
    <s v="Géométrie dans l’espace"/>
    <s v="C’est l’équateur"/>
    <x v="2"/>
    <s v="C’est l’équateur.|C’est le tropique du Cancer.|C’est la parallèle de Greenwich."/>
    <s v="oui"/>
  </r>
  <r>
    <n v="86"/>
    <s v="Les lieux situés sur le même méridien ont la même longitude. Vrai ou faux ?"/>
    <s v="Géométrie dans l’espace"/>
    <b v="1"/>
    <x v="4"/>
    <s v="V"/>
    <m/>
  </r>
  <r>
    <n v="87"/>
    <s v="Les lieux situés sur la même parallèle ont la même longitude. Vrai ou faux ?"/>
    <s v="Géométrie dans l’espace"/>
    <s v="Faux, ils ont la même latitude"/>
    <x v="4"/>
    <s v="F"/>
    <m/>
  </r>
  <r>
    <n v="88"/>
    <s v="Quelles sont les coordonnées de ce point ?"/>
    <s v="Géométrie dans l’espace"/>
    <s v="(60° E ; 40° N)"/>
    <x v="2"/>
    <s v="(60° E ; 40° N)|(40° E ; 60° N)|(60° O ; 40° S)"/>
    <s v="oui"/>
  </r>
  <r>
    <n v="89"/>
    <s v="Quelles sont les coordonnées de ce point ?"/>
    <s v="Géométrie dans l’espace"/>
    <s v="(60° E; 40° S)"/>
    <x v="2"/>
    <s v="(60° E ; 40° S)|(40° E ; 60° S)|(60° E ; 40° N)"/>
    <s v="oui"/>
  </r>
  <r>
    <n v="90"/>
    <s v="Quelles sont les coordonnées  de ce point ?"/>
    <s v="Géométrie dans l’espace"/>
    <s v="(30° O; 60° S)"/>
    <x v="2"/>
    <s v="(30° O ; 60° S)|(60° O ; 30° S)|(30° O ; 60° N)"/>
    <s v="oui"/>
  </r>
  <r>
    <n v="91"/>
    <s v="Quelles sont les coordonnées de ce point ?"/>
    <s v="Géométrie dans l’espace"/>
    <s v="(0° ; 20° N)"/>
    <x v="2"/>
    <s v="(0° ; 20° N)|(20° O ;0° S)|(0° ;20° S)"/>
    <s v="oui"/>
  </r>
  <r>
    <n v="92"/>
    <s v="Quelles sont les coordonnées du point D?"/>
    <s v="Géométrie dans l’espace"/>
    <s v="D (0 ; 0 ; 2)"/>
    <x v="2"/>
    <s v="D (0 ; 0 ; 2)|D (0 ; 2 ; 0)|D (2 ; 0 ; 0)"/>
    <s v="oui"/>
  </r>
  <r>
    <n v="93"/>
    <s v="Quelles sont les coordonnées du point B?"/>
    <s v="Géométrie dans l’espace"/>
    <s v="B (3 ; 0 ; 0)"/>
    <x v="2"/>
    <s v="B (3 ; 0 ; 0)|B (0 ; 3 ; 0)|B (0 ; 0 ; 3)"/>
    <s v="oui"/>
  </r>
  <r>
    <n v="94"/>
    <s v="Quelles sont les coordonnées du point E?"/>
    <s v="Géométrie dans l’espace"/>
    <s v="E (0 ; 4 ; 0)"/>
    <x v="2"/>
    <s v="E (0 ; 4 ; 0)|E (4 ; 0 ; 0)|E (0 ; 0 ; 4)"/>
    <s v="oui"/>
  </r>
  <r>
    <n v="95"/>
    <s v="Quelles sont les coordonnées du point F?"/>
    <s v="Géométrie dans l’espace"/>
    <s v="F (3 ; 0 ; 2)"/>
    <x v="2"/>
    <s v="F (3 ; 0 ; 2)|F (2 ; 0 ; 3)|F (0 ; 3 ; 2)"/>
    <s v="oui"/>
  </r>
  <r>
    <n v="96"/>
    <s v="Quelles sont les coordonnées du point G?"/>
    <s v="Géométrie dans l’espace"/>
    <s v="G (3 ; 4 ; 2)"/>
    <x v="2"/>
    <s v="G (3 ; 4 ; 2)|G (4 ; 3 ; 2)|G (2 ; 3 ; 4)"/>
    <s v="oui"/>
  </r>
  <r>
    <n v="97"/>
    <s v="Qu’est-ce qu’un parallélépipède rectangle ?"/>
    <s v="Géométrie dans l’espace"/>
    <s v="C’est un solide à 6 faces rectangulaires dont les faces opposées sont superposables."/>
    <x v="2"/>
    <s v="C’est un solide à 6 faces rectangulaires dont les faces opposées sont superposables.|C’est un solide à 6 faces carrées, dont toutes les faces sont de même dimension.|C’est un solide à 6 faces triangulaires."/>
    <m/>
  </r>
  <r>
    <n v="98"/>
    <s v="Qu’est-ce qu’un prisme droit ?"/>
    <s v="Géométrie dans l’espace"/>
    <s v="C’est un solide possédant 2 bases polygonales superposables et dont les faces latérales sont des rectangles."/>
    <x v="2"/>
    <s v="C’est un solide avec 2 bases polygonales superposables et des faces latérales rectangulaires.|C’est un solide avec 2 bases circulaires superposables et des faces latérales rectangulaires.|C’est un solide avec 1 base polygonale et des faces latérales triangulaires."/>
    <m/>
  </r>
  <r>
    <n v="99"/>
    <s v="Qu’est-ce qu’un cube ?"/>
    <s v="Géométrie dans l’espace"/>
    <s v="C’est un solide possédant 6 faces carrées de même dimension."/>
    <x v="2"/>
    <s v="C’est un solide à 6 faces carrées, toutes de même dimension.|C’est un solide à 6 faces rectangulaires, dont les faces opposées sont superposables.|C’est un solide à 6 faces triangulaires, toutes de même dimension."/>
    <m/>
  </r>
  <r>
    <n v="100"/>
    <s v="Qu’est-ce qu’un cylindre ?"/>
    <s v="Géométrie dans l’espace"/>
    <s v="C’est un solide possédant 2 bases opposées qui sont des disques de même rayon et dont la face latérale est un rectangle."/>
    <x v="2"/>
    <s v="C’est un solide avec 2 bases circulaires de même rayon et une face latérale rectangulaire.|C’est un solide avec 2 bases rectangulaires de même dimension et une face latérale rectangulaire.|C’est un solide avec 1 base polygonale et des faces latérales triangulaires."/>
    <m/>
  </r>
  <r>
    <n v="101"/>
    <s v="Qu’est-ce qu’une pyramide ?"/>
    <s v="Géométrie dans l’espace"/>
    <s v="C’est un solide possédant 1 base polygonale et dont les faces latérales sont des triangles ayant un sommet commun."/>
    <x v="2"/>
    <s v="C’est un solide avec 1 base polygonale et des faces latérales triangulaires convergeant vers un sommet.|C’est un solide avec 1 base circulaire et des faces latérales rectangulaires convergeant vers un sommet.|C’est un solide avec 2 bases polygonales superposables et des faces latérales rectangulaires."/>
    <m/>
  </r>
  <r>
    <n v="102"/>
    <s v="Qu’est-ce qu’un cône ?"/>
    <s v="Géométrie dans l’espace"/>
    <s v="C’est un solide possédant 1 base qui est un disque et 1 face latérale qui est un secteur de disque."/>
    <x v="2"/>
    <s v="C’est un solide avec 1 base circulaire et une face latérale formant un secteur de disque.|C’est un solide avec 2 bases circulaires et une face latérale rectangulaire.|C’est un solide avec 1 base polygonale et des faces latérales triangulaires convergeant vers un sommet."/>
    <m/>
  </r>
  <r>
    <n v="103"/>
    <s v="Quelle formule permet de calculer le volume d’un pavé droit ?"/>
    <s v="Géométrie dans l’espace"/>
    <s v="Longueur x largeur x hauteur"/>
    <x v="2"/>
    <s v="Longueur x largeur x hauteur|Aire de la base x hauteur|(π x rayon² x hauteur) / 3"/>
    <m/>
  </r>
  <r>
    <n v="104"/>
    <s v="Quelle formule permet de calculer le volume d’un prisme droit ?"/>
    <s v="Géométrie dans l’espace"/>
    <s v="Aire de la base du prisme x hauteur"/>
    <x v="2"/>
    <s v="Aire de la base du prisme x hauteur|Longueur x largeur x hauteur|(π x rayon² x hauteur)"/>
    <m/>
  </r>
  <r>
    <n v="105"/>
    <s v="Comment s’appelle la mesure de l’angle qui permet de situer un point sur une parallèle ?"/>
    <s v="Géométrie dans l’espace"/>
    <s v="C’est une latitude"/>
    <x v="2"/>
    <s v="C’est une latitude|C’est une longitude|C’est une altitude"/>
    <s v="oui"/>
  </r>
  <r>
    <n v="106"/>
    <s v="Quelle est la section d’un cylindre par un plan parallèle à son axe ? Donner les caractéristiques connues."/>
    <s v="Géométrie dans l’espace"/>
    <s v="C’est un rectangle de longueur correspond à la hauteur du cylindre"/>
    <x v="2"/>
    <s v="C’est un rectangle dont la longueur correspond à la hauteur du cylindre|C’est un disque dont le diamètre est égal à celui de la base du cylindre|C’est un triangle équilatéral"/>
    <m/>
  </r>
  <r>
    <n v="107"/>
    <s v="Quelle est la section d’une pyramide par un plan parallèle à sa base pentagonale ? Donner les caractéristiques connues."/>
    <s v="Géométrie dans l’espace"/>
    <s v="C’est une réduction de sa base soit un pentagone"/>
    <x v="2"/>
    <s v="C’est une réduction de sa base soit un pentagone|C’est un triangle équilatéral|C’est un rectangle dont une dimension correspond à la hauteur de la pyramide"/>
    <m/>
  </r>
  <r>
    <n v="108"/>
    <s v="Quelle est la section d’un cône par un plan parallèle à sa base ? Donner les caractéristiques connues."/>
    <s v="Géométrie dans l’espace"/>
    <s v="C’est une réduction de sa base soit un disque"/>
    <x v="2"/>
    <s v="C’est une réduction de sa base soit un disque|C’est un rectangle|C’est un triangle isocèle"/>
    <m/>
  </r>
  <r>
    <n v="109"/>
    <s v="Quelle est la section d’un cylindre par un plan perpendiculaire à son axe ? Donner les caractéristiques connues."/>
    <s v="Géométrie dans l’espace"/>
    <s v="C’est un disque de même rayon que celui de la base du cylindre"/>
    <x v="2"/>
    <s v="C’est un disque de même rayon que celui de la base du cylindre|C’est un rectangle dont la longueur est la hauteur du cylindre|C’est un triangle rectangle"/>
    <m/>
  </r>
  <r>
    <n v="110"/>
    <s v="Quelle est la section d’une sphère par un plan passant par son centre ? Donner les caractéristiques connues."/>
    <s v="Géométrie dans l’espace"/>
    <s v="C’est un disque de même rayon que celui de la sphère"/>
    <x v="2"/>
    <s v="C’est un disque de même rayon que la sphère|C’est un rectangle dont une dimension correspond à la hauteur de la sphère|C’est un triangle équilatéral"/>
    <m/>
  </r>
  <r>
    <n v="111"/>
    <s v="Quelle est la section d’un pavé droit par un plan parallèle à une arête ? Donner les caractéristiques connues."/>
    <s v="Géométrie dans l’espace"/>
    <s v="C’est un rectangle dont l’une des dimensions est la longueur de cette arête"/>
    <x v="2"/>
    <s v="C’est un rectangle dont l’une des dimensions est la longueur de cette arête|C’est un disque dont le rayon est égal à celui de la base|C’est un triangle équilatéral"/>
    <m/>
  </r>
  <r>
    <n v="112"/>
    <s v="Quelle est la section d’un pavé droit par un plan parallèle à une face ? Donner les caractéristiques connues."/>
    <s v="Géométrie dans l’espace"/>
    <s v="C’est un rectangle qui a les mêmes dimensions que cette face."/>
    <x v="2"/>
    <s v="C’est un rectangle qui a les mêmes dimensions que cette face|C’est un disque dont le rayon est égal à celui de la base|C’est un triangle isocèle"/>
    <m/>
  </r>
  <r>
    <n v="113"/>
    <s v="Qu’est-ce qu’une sphère ?"/>
    <s v="Géométrie dans l’espace"/>
    <s v="C’est un solide constitué de l’ensemble des points situés à une même distance du centre."/>
    <x v="2"/>
    <s v="C’est un solide constitué de l’ensemble des points situés à une même distance du centre|C’est un solide à 6 faces carrées de même dimension|C’est un solide dont la base est un disque et la face latérale est un rectangle"/>
    <m/>
  </r>
  <r>
    <n v="114"/>
    <s v="Quelle formule permet de calculer le volume d’un cône ?"/>
    <s v="Géométrie dans l’espace"/>
    <s v="(π x rayon x rayon x hauteur) / 3"/>
    <x v="2"/>
    <s v="(π x rayon² x hauteur) / 3|Aire de la base x hauteur|Longueur x largeur x hauteur"/>
    <m/>
  </r>
  <r>
    <n v="115"/>
    <s v="Quelle formule permet de calculer le volume d’une pyramide ?"/>
    <s v="Géométrie dans l’espace"/>
    <s v="(aire de la base x hauteur) / 3"/>
    <x v="2"/>
    <s v="(Aire de la base x hauteur) / 3|(π x rayon² x hauteur) / 3|Longueur x largeur x hauteur"/>
    <m/>
  </r>
  <r>
    <n v="116"/>
    <s v="Quelle formule permet de calculer le volume d’une boule ? "/>
    <s v="Géométrie dans l’espace"/>
    <s v="(π x rayon x rayon x rayon x 4) / 3"/>
    <x v="2"/>
    <s v="(π x rayon x rayon x rayon x 4) / 3|(π x rayon³)/(3 x 4)|(Aire de la base x hauteur) / 3"/>
    <m/>
  </r>
  <r>
    <n v="117"/>
    <s v="Quelle formule permet de calculer le volume d’un cylindre ?"/>
    <s v="Géométrie dans l’espace"/>
    <s v="π x rayon x rayon x hauteur"/>
    <x v="2"/>
    <s v="π x rayon² x hauteur|π x rayon³|Aire de la base x hauteur²"/>
    <m/>
  </r>
  <r>
    <n v="118"/>
    <s v="Quelle formule permet de calculer le volume d’un cube ?"/>
    <s v="Géométrie dans l’espace"/>
    <s v="Arête x arête x arête"/>
    <x v="2"/>
    <s v="Arête³|Longueur³|Aire de la base³"/>
    <m/>
  </r>
  <r>
    <n v="119"/>
    <s v="Combien de faces latérales possède la pyramide à base octogonale ?"/>
    <s v="Géométrie dans l’espace"/>
    <s v="Autant de côtés sur sa base soit 8."/>
    <x v="0"/>
    <s v="8|8 côtés|8 coté|"/>
    <m/>
  </r>
  <r>
    <n v="120"/>
    <s v="Combien de sommet(s) possède la sphère de centre O ?"/>
    <s v="Géométrie dans l’espace"/>
    <n v="0"/>
    <x v="0"/>
    <n v="0"/>
    <m/>
  </r>
  <r>
    <n v="121"/>
    <s v="Combien de sommets possède la pyramide à base heptagonale ? "/>
    <s v="Géométrie dans l’espace"/>
    <s v="7 sommets sur sa base et 1 sommet principal soit 8"/>
    <x v="0"/>
    <s v="8| 8 sommets"/>
    <m/>
  </r>
  <r>
    <n v="122"/>
    <s v="Combien de sommets possède le prisme droit à base hexagonale ?"/>
    <s v="Géométrie dans l’espace"/>
    <s v="6 sommets x 2 bases soit 12 "/>
    <x v="0"/>
    <s v="12|12 sommets"/>
    <m/>
  </r>
  <r>
    <n v="123"/>
    <s v="Combien de faces possède le prisme droit à base décagonale ?"/>
    <s v="Géométrie dans l’espace"/>
    <s v="10 faces latérales + 2 bases soit 12"/>
    <x v="0"/>
    <s v="12|12 sommets"/>
    <m/>
  </r>
  <r>
    <n v="124"/>
    <s v="Quel est le volume exact du cône dont sa base a pour rayon 10 cm et sa hauteur 30 cm ?"/>
    <s v="Géométrie dans l’espace"/>
    <s v="(π×10×10 ×30)/3  donc 1000π cm³ "/>
    <x v="0"/>
    <s v="1000π|1000π cm³ "/>
    <m/>
  </r>
  <r>
    <n v="125"/>
    <s v="Quel est le volume exact de la sphère de rayon 30 cm ?"/>
    <s v="Géométrie dans l’espace"/>
    <s v="(π × 30 × 30 × 30 x 4)/3  donc 36 000π cm³ "/>
    <x v="0"/>
    <s v="36000π|36000π cm³ "/>
    <m/>
  </r>
  <r>
    <n v="126"/>
    <s v="Quel est le volume exact de la pyramide à base carrée de longueur de côté 5 cm et de hauteur 6 cm ?"/>
    <s v="Géométrie dans l’espace"/>
    <s v="(5  × 5 × 6)/3  donc 50 π cm³ "/>
    <x v="0"/>
    <s v="50π|50π cm³ "/>
    <m/>
  </r>
  <r>
    <n v="127"/>
    <s v="Quel est le volume exact du cylindre de diamètre 8 cm et de hauteur 2 cm ?"/>
    <s v="Géométrie dans l’espace"/>
    <s v="π x 4 x 4 x 2 soit 32  π cm³ "/>
    <x v="0"/>
    <s v="32π|32π cm³ "/>
    <m/>
  </r>
  <r>
    <n v="128"/>
    <s v="Quel est le volume exact du prisme droit dont la hauteur mesure 2 cm et dont la base est un triangle rectangle dont les dimensions sont 3cm, 4 cm et 5 cm ?"/>
    <s v="Géométrie dans l’espace"/>
    <s v="(3 × 4)/2 x 2  donc 12 cm³ "/>
    <x v="0"/>
    <s v="12|12 cm³ "/>
    <m/>
  </r>
  <r>
    <n v="129"/>
    <s v="Quel est le nom de ce solide ? Et donner la nature de sa base"/>
    <s v="Géométrie dans l’espace"/>
    <s v="C’est une pyramide. Sa base est un parallélogramme."/>
    <x v="2"/>
    <s v="C’est une pyramide. Sa base est un parallélogramme.|C’est un prisme droit. Sa base est un triangle.|C’est un prisme droit. Sa base est un rectangle."/>
    <m/>
  </r>
  <r>
    <n v="130"/>
    <s v="Quel est le nom de ce solide ? Et donner la nature de sa base"/>
    <s v="Géométrie dans l’espace"/>
    <s v="C’est une pyramide. Sa base est un hexagone."/>
    <x v="2"/>
    <s v="C’est une pyramide. Sa base est un hexagone.|C’est un cône. Sa base est un disque.|C’est un prisme. Sa base est un pentagone."/>
    <m/>
  </r>
  <r>
    <n v="131"/>
    <s v="Quel est le nom de ce solide ? Et donner la nature de sa base"/>
    <s v="Géométrie dans l’espace"/>
    <s v="C’est un tétraèdre ou une pyramide. Sa base est un triangle."/>
    <x v="2"/>
    <s v="C’est un tétraèdre. Sa base est un triangle.|C’est une pyramide. Sa base est un quadrilatère.|C’est un cône. Sa base est un disque."/>
    <m/>
  </r>
  <r>
    <n v="132"/>
    <s v="Quel est le nom de ce solide ? Et donner la nature de sa base"/>
    <s v="Géométrie dans l’espace"/>
    <s v="C’est un cône. Sa base est un disque."/>
    <x v="2"/>
    <s v="C’est un cône. Sa base est un disque.|C’est un cylindre. Sa base est un cercle.|C’est un prisme. Sa base est un triangle."/>
    <m/>
  </r>
  <r>
    <n v="133"/>
    <s v="Quel est le nom de ce solide ? Et donner la nature de ses bases"/>
    <s v="Géométrie dans l’espace"/>
    <s v="C’est un cylindre. Ses bases sont des disques."/>
    <x v="2"/>
    <s v="C’est un cylindre. Ses bases sont des disques.|C’est un prisme droit. Ses bases sont des rectangles.|C’est une pyramide. Ses bases sont des triangles."/>
    <m/>
  </r>
  <r>
    <n v="134"/>
    <s v="Quel est le nom de ce solide ? Et donner la nature de ses bases"/>
    <s v="Géométrie dans l’espace"/>
    <s v="C’est un prisme droit. Ses bases sont des triangles."/>
    <x v="2"/>
    <s v="C’est un prisme droit. Ses bases sont des triangles.|C’est un prisme droit. Ses bases sont des quadrilatères.|C’est un prisme droit. Ses bases sont des hexagones."/>
    <m/>
  </r>
  <r>
    <n v="135"/>
    <s v="Quel est le nom de ce solide ? Et donner la nature de ses bases"/>
    <s v="Géométrie dans l’espace"/>
    <s v="C’est un prisme droit. Ses bases sont des quadrilatères."/>
    <x v="2"/>
    <s v="C’est un prisme droit. Ses bases sont des quadrilatères.|C’est un prisme droit. Ses bases sont des hexagones.|C’est un prisme droit. Ses bases sont des triangles."/>
    <m/>
  </r>
  <r>
    <n v="136"/>
    <s v="Quel est le nom de ce solide ? Et donner la nature de ses bases"/>
    <s v="Géométrie dans l’espace"/>
    <s v="C’est un prisme droit. Ses bases sont des hexagones."/>
    <x v="2"/>
    <s v="C’est un prisme droit. Ses bases sont des hexagones.|C’est un prisme droit. Ses bases sont des quadrilatères.|C’est un prisme droit. Ses bases sont des triangles."/>
    <m/>
  </r>
  <r>
    <n v="137"/>
    <s v="Soit le point A et son symétrique A’ par rapport à la droite (d). Que représente la droite (d) par rapport à [AA’] ?"/>
    <s v="Transformation"/>
    <s v="(d) est la médiatrice de [AA’]. C’est-à-dire qu’elle passe par le milieu de [AA’] perpendiculairement."/>
    <x v="2"/>
    <s v="(d) est la médiatrice de [AA’].|(d) est une parallèle à [AA’].|(d) est une tangente à [AA’]."/>
    <m/>
  </r>
  <r>
    <n v="138"/>
    <s v="Soit le point A et son symétrique A’ par rapport au centre O. Que représente le point 0 par rapport à [AA’] ?"/>
    <s v="Transformation"/>
    <s v="Le point O est le milieu de [AA’]"/>
    <x v="2"/>
    <s v="Le point O est le milieu de [AA’].|Le point O est un sommet de [AA’].|Le point O est une extrémité de [AA’]."/>
    <m/>
  </r>
  <r>
    <n v="139"/>
    <s v="Comment vérifier que 2 figures sont symétriques par rapport à une droite (d) ?"/>
    <s v="Transformation"/>
    <s v="On plie le long de l’axe (d) et les 2 figures doivent se superposer."/>
    <x v="2"/>
    <s v="On plie le long de l’axe (d), et les deux figures doivent se superposer.|On effectue une rotation d’angle 90° autour de (d).|On traduit les deux figures selon une droite parallèle à (d)."/>
    <m/>
  </r>
  <r>
    <n v="140"/>
    <s v="Comment vérifier que 2 figures sont symétriques par rapport à un point 0 ?"/>
    <s v="Transformation"/>
    <s v="On effectue un demi-tour autour de ce point O et les 2 figures doivent se superposer."/>
    <x v="2"/>
    <s v="On effectue un demi-tour autour de ce point O, et les deux figures doivent se superposer.|On plie les figures le long d’un axe passant par O.|On effectue une translation de la figure autour de O."/>
    <m/>
  </r>
  <r>
    <n v="141"/>
    <s v="Que faut-il annoncer pour définir une rotation ?"/>
    <s v="Transformation"/>
    <s v="Il faut un centre, un angle et un sens de rotation"/>
    <x v="2"/>
    <s v="Un centre, un angle et un sens de rotation.|Un centre, une direction et une longueur.|Un axe, une longueur et un rapport d’homothétie."/>
    <m/>
  </r>
  <r>
    <n v="142"/>
    <s v="Que faut-il annoncer pour définir une translation ?"/>
    <s v="Transformation"/>
    <s v="Il faut un une direction de déplacement, une longueur de déplacement et un sens de déplacement. Il est souvent traduit par une flèche"/>
    <x v="2"/>
    <s v="Une direction, une longueur et un sens de déplacement.|Un centre, un angle et un sens de rotation.|Un axe et un rapport de réduction."/>
    <m/>
  </r>
  <r>
    <n v="143"/>
    <s v="Quel effet a une homothétie de rapport 2 sur une figure ?"/>
    <s v="Transformation"/>
    <s v="La figure est agrandie, toutes les dimensions  sont multipliées par 2."/>
    <x v="2"/>
    <s v="La figure est agrandie, toutes les dimensions sont multipliées par 2.|La figure est réduite, toutes les dimensions sont divisées par 2.|La figure est retournée, sans changement de taille."/>
    <m/>
  </r>
  <r>
    <n v="144"/>
    <s v="Quel effet a une homothétie de rapport 0,5 sur une figure ?"/>
    <s v="Transformation"/>
    <s v="La figure est réduite, toutes les dimensions sont divisées par 2."/>
    <x v="2"/>
    <s v="La figure est réduite, toutes les dimensions sont divisées par 2.|La figure est agrandie, toutes les dimensions sont multipliées par 2.|La figure est retournée, toutes les dimensions sont divisées par 1/2."/>
    <m/>
  </r>
  <r>
    <n v="145"/>
    <s v="Quel effet a une homothétie de rapport - 2 sur une figure ?"/>
    <s v="Transformation"/>
    <s v="La figure est agrandie mais retournée (rotation d’angle 180°) et toutes les dimensions sont multipliées par 2."/>
    <x v="2"/>
    <s v="La figure est agrandie mais retournée, avec toutes les dimensions multipliées par 2.|La figure est réduite et retournée, toutes les dimensions sont divisées par 2.|La figure est déplacée, sans changement de taille."/>
    <m/>
  </r>
  <r>
    <n v="146"/>
    <s v="Quel effet a une homothétie de rapport 1 sur une figure ?"/>
    <s v="Transformation"/>
    <s v="Aucun, c’est la même figure, sans être déplacée."/>
    <x v="2"/>
    <s v="Aucun effet, c’est la même figure, sans déplacement.|La figure est agrandie.|La figure est retournée, mais garde la même taille."/>
    <m/>
  </r>
  <r>
    <n v="147"/>
    <s v="Quel effet a une homothétie de rapport – 0,25 sur une figure ?"/>
    <s v="Transformation"/>
    <s v="La figure est réduite mais retournée (rotation d’angle 180°) et toutes les Dimensions sont divisées par 4."/>
    <x v="2"/>
    <s v="La figure est réduite mais retournée, toutes les dimensions sont divisées par 4.|La figure est agrandie, toutes les dimensions sont multipliées par 4.|La figure est réduite sans être retournée."/>
    <m/>
  </r>
  <r>
    <n v="148"/>
    <s v="Quel effet a une homothétie de rapport - 1 sur une figure ?"/>
    <s v="Transformation"/>
    <s v="C’est la même figure, mais elle est retournée (rotation d’angle 180°)"/>
    <x v="2"/>
    <s v="La figure est retournée, mais garde la même taille.|La figure est agrandie et retournée.|La figure est réduite, sans retournement."/>
    <m/>
  </r>
  <r>
    <n v="149"/>
    <s v="Comment différencier une homothétie qui agrandit, d’une homothétie qui réduit une figure ?"/>
    <s v="Transformation"/>
    <s v="Le rapport d’un agrandissement est supérieur strictement à 1 ou inférieur strictement à -1. Alors que le rapport d’une réduction est compris entre 0 et 1 strictement ou strictement compris entre -1 et 0."/>
    <x v="2"/>
    <s v="Une homothétie agrandit si le rapport est supérieur à 1 ou inférieur à -1, et réduit si le rapport est entre 0 et 1 ou entre -1 et 0.|Une homothétie agrandit si le rapport est supérieur à 0, et réduit si le rapport est négatif.|Une homothétie agrandit si le rapport est égal à 1, et réduit sinon."/>
    <m/>
  </r>
  <r>
    <n v="150"/>
    <s v="Une figure subit une homothétie de rapport k. Comment évolue son aire ?"/>
    <s v="Transformation"/>
    <s v="Les aires sont multipliées par k²."/>
    <x v="2"/>
    <s v="Les aires sont multipliées par k².|Les aires sont multipliées par k.|Les aires sont multipliées par k³."/>
    <m/>
  </r>
  <r>
    <n v="151"/>
    <s v="Un solide est agrandi de rapport k. Comment évolue son volume ?"/>
    <s v="Transformation"/>
    <s v="Les volumes sont multipliés par k³."/>
    <x v="2"/>
    <s v="Les volumes sont multipliés par k³.|Les volumes sont multipliés par k².|Les volumes sont multipliés par k."/>
    <m/>
  </r>
  <r>
    <n v="152"/>
    <s v="Une figure subit une homothétie de rapport 10. Quel effet ça a sur les angles ?"/>
    <s v="Transformation"/>
    <s v="Aucun effet : Les angles restent de même mesure."/>
    <x v="2"/>
    <s v="Aucun effet : les angles restent de même mesure.|Les angles sont multipliés par 10.|Les angles sont divisés par 10."/>
    <m/>
  </r>
  <r>
    <n v="153"/>
    <s v="Décrire la transformation qui permet de passer de ABC à A’B’C’ ?"/>
    <s v="Transformation"/>
    <s v="C’est une homothétie de centre A et de rapport -2"/>
    <x v="2"/>
    <s v="C’est une homothétie de centre A et de rapport -2|C’est une translation de centre A vers B.|C’est une symétrie d’axe (AC)."/>
    <s v="oui"/>
  </r>
  <r>
    <n v="154"/>
    <s v="Décrire la transformation qui permet de passer de ABC à A’B’C’ ?"/>
    <s v="Transformation"/>
    <s v="C’est une symétrie d’axe (AC)"/>
    <x v="2"/>
    <s v="C’est une symétrie d’axe (AC).|C’est une rotation de centre B.|C’est une homothétie de centre A et de rapport 2."/>
    <s v="oui"/>
  </r>
  <r>
    <n v="155"/>
    <s v="Décrire la transformation qui permet de passer de ABC à A’B’C’ ?"/>
    <s v="Transformation"/>
    <s v="C’est une symétrie de centre B"/>
    <x v="2"/>
    <s v="C’est une symétrie de centre B.|C’est une translation de B vers C.|C’est une rotation d’angle 90° autour de C."/>
    <s v="oui"/>
  </r>
  <r>
    <n v="156"/>
    <s v="Décrire la transformation qui permet de passer de ABC à A’B’C’ ?"/>
    <s v="Transformation"/>
    <s v="C’est une translation de longueur BC, de sens de B vers C et de direction (BC)"/>
    <x v="2"/>
    <s v="C’est une translation de longueur BC, de sens de B vers C et de direction (BC).|C’est une homothétie de rapport 3.|C’est une translation de longueur BC, de sens de C vers B et de direction (CB)."/>
    <s v="oui"/>
  </r>
  <r>
    <n v="157"/>
    <s v="Décrire la transformation qui permet de passer de ABC à A’B’C’ ?"/>
    <s v="Transformation"/>
    <s v="C’est une rotation de centre C d’angle 45 ° et de sens anti-horaire"/>
    <x v="2"/>
    <s v="C’est une rotation de centre C d’angle 45° et de sens anti-horaire.|C’est une rotation de centre C d’angle 45° et de sens horaire.|C’est une rotation de centre C d’angle 135° et de sens horaire."/>
    <s v="oui"/>
  </r>
  <r>
    <n v="158"/>
    <s v="Décrire la transformation qui permet de passer de ABC à A’B’C’ ?"/>
    <s v="Transformation"/>
    <s v="C’est une homothétie de centre B et de rapport 3"/>
    <x v="2"/>
    <s v="C’est une homothétie de centre B et de rapport 3.|C’est une homothétie de centre A et de rapport 3.|C’est une homothétie de centre C et de rapport 3."/>
    <s v="oui"/>
  </r>
  <r>
    <n v="159"/>
    <s v="Décrire la transformation qui permet de passer de ABC à A’B’C’ ?"/>
    <s v="Transformation"/>
    <s v="C’est une homothétie de centre C et de rapport 0,5"/>
    <x v="2"/>
    <s v="C’est une homothétie de centre C et de rapport 0,5.|C’est une homothétie de centre A et de rapport 0,5.|C’est une homothétie de centre B et de rapport 0,5."/>
    <s v="oui"/>
  </r>
  <r>
    <n v="160"/>
    <s v="Décrire la transformation qui permet de passer de ABC à A’B’C’ ?"/>
    <s v="Transformation"/>
    <s v="C’est une rotation de centre A  d’angle 90 ° et de sens horaire"/>
    <x v="2"/>
    <s v="C’est une homothétie de centre C et de rapport 0,5.|C’est une homothétie de centre A et de rapport 0,5.|C’est une homothétie de centre B et de rapport 0,5."/>
    <s v="oui"/>
  </r>
  <r>
    <n v="161"/>
    <s v="Est-ce une frise, un pavage ou une rosace ?"/>
    <s v="Transformation"/>
    <s v="C’est un pavage."/>
    <x v="2"/>
    <s v="C’est un pavage.|C’est une rosace.|C’est une frise."/>
    <s v="oui"/>
  </r>
  <r>
    <n v="162"/>
    <s v="Par quelle transformation avons-nous obtenu cette rosace ? La décrire."/>
    <s v="Transformation"/>
    <s v="C’est par une rotation d’angle 22,5° (car il y a 16 fois le même motif et que l’angle total mesure 360°) Son centre est au centre du vitrail."/>
    <x v="2"/>
    <s v="C’est une rotation d’angle 22,5° et de centre au milieu du motif.|C’est une symétrie centrale autour du point O.|C’est une translation d’un motif répété 16 fois."/>
    <s v="oui"/>
  </r>
  <r>
    <n v="163"/>
    <s v="Par quelle transformation avons-nous obtenu cette rosace ? La décrire."/>
    <s v="Transformation"/>
    <s v="C’est par une rotation d’angle 30° (car il y a 12 fois le même carré et que l’angle total mesure 360°) Son centre est au centre de la rosace."/>
    <x v="2"/>
    <s v="C’est une rotation d’angle 30° et de centre au milieu du motif.|C’est une rotation d’angle 45° et de centre au milieu du motif.|C’est une rotation d’angle 160° et de centre au milieu du motif."/>
    <s v="oui"/>
  </r>
  <r>
    <n v="164"/>
    <s v="Vrai ou faux ? Justifier. Si A’ et B’ sont les images respectives de A et B par la même translation alors A’B’AB est un parallélogramme."/>
    <s v="Transformation"/>
    <s v="Faux, C’est A’B’BA qui est un parallélogramme."/>
    <x v="4"/>
    <s v="F"/>
    <m/>
  </r>
  <r>
    <n v="165"/>
    <s v="Vrai ou faux ? Justifier. Un rectangle a un centre de symétrie et 2 axes de symétrie qui sont les diagonales."/>
    <s v="Transformation"/>
    <s v="Faux Un rectangle a un centre de symétrie Et 2 axes de symétrie qui sont les médiatrices des côtés et non les diagonales."/>
    <x v="4"/>
    <s v="F"/>
    <m/>
  </r>
  <r>
    <n v="166"/>
    <s v="Un rectangle de longueur 4 cm et de largeur 3 cm est transformé par une homothétie de rapport -2. Quelle est l’aire de la figure obtenue ?"/>
    <s v="Transformation"/>
    <s v="L’aire du rectangle initial est : 4 x 3 = 12 cm². L’aire va être multipliée par 22 soit 4 L’aire de la figure obtenue va être : 12 x 4 soit 48 cm²"/>
    <x v="0"/>
    <s v="12|12 cm²"/>
    <m/>
  </r>
  <r>
    <n v="167"/>
    <s v="Soit ABC un triangle équilatéral. Quel est l’angle de rotation de centre C qui transforme A en B ?"/>
    <s v="Transformation"/>
    <s v="C’est une rotation d’angle 60°"/>
    <x v="0"/>
    <s v="60|60°|60 degrès"/>
    <m/>
  </r>
  <r>
    <n v="168"/>
    <s v="Soit ABCD un rectangle de centre E. Quelle est l’image de A par la translation qui transforme E en C ?"/>
    <s v="Transformation"/>
    <s v="C’est E."/>
    <x v="2"/>
    <s v="C’est E.|C’est C.|C’est D."/>
    <m/>
  </r>
  <r>
    <n v="169"/>
    <s v="Décrire par les mots de vocabulaire précis cette notation mathématique : (AB)"/>
    <s v="Communiquer"/>
    <s v="C’est la droite passant par A et par B"/>
    <x v="2"/>
    <s v="C’est la droite passant par A et par B.|C’est le segment d’extrémités A et B.|C’est la demi-droite d’origine A et passant par B."/>
    <m/>
  </r>
  <r>
    <n v="170"/>
    <s v="Décrire par les mots de vocabulaire précis cette notation mathématique : [AB]"/>
    <s v="Communiquer"/>
    <s v="C’est le segment d’extrémités A et par B"/>
    <x v="2"/>
    <s v="C’est le segment d’extrémités A et B.|C’est la droite passant par A et B.|C’est la demi-droite d’origine A et passant par B."/>
    <m/>
  </r>
  <r>
    <n v="171"/>
    <s v="Décrire par les mots de vocabulaire précis cette notation mathématique : [AB)"/>
    <s v="Communiquer"/>
    <s v="C’est la demi-droite d’origine A Et passant et par B"/>
    <x v="2"/>
    <s v="C’est la demi-droite d’origine A et passant par B.|C’est le segment d’extrémités A et B.|C’est la droite passant par A et B."/>
    <m/>
  </r>
  <r>
    <n v="172"/>
    <s v="Décrire par les mots de vocabulaire précis cette notation mathématique : AB"/>
    <s v="Communiquer"/>
    <s v="C’est la longueur du segment d’extrémités A et B"/>
    <x v="2"/>
    <s v="C’est la longueur du segment d’extrémités A et B.|C’est la longueur de la droite passant par A et B.|C’est la longueur de la demi-droite d’origine A et passant par B."/>
    <m/>
  </r>
  <r>
    <n v="173"/>
    <s v="Décrire par les mots de vocabulaire précis cette notation mathématique : (AB) ⊥ (CD)"/>
    <s v="Communiquer"/>
    <s v="La droite passant par A et par B est perpendiculaire à la droite passant par C et D"/>
    <x v="2"/>
    <s v="La droite passant par A et par B est perpendiculaire à la droite passant par C et D.|Le segment d’extrémités A et B est perpendiculaire au segment d’extrémités C et D.|La demi-droite d’origine A est perpendiculaire à la droite passant par C et D."/>
    <m/>
  </r>
  <r>
    <n v="174"/>
    <s v="Décrire par les mots de vocabulaire précis cette notation mathématique : (AB) // (CD)"/>
    <s v="Communiquer"/>
    <s v="La droite passant par A et par B est parallèle à la droite passant par C et D"/>
    <x v="2"/>
    <s v="La droite passant par A et par B est parallèle à la droite passant par C et D.|Le segment d’extrémités A et B est parallèle au segment d’extrémités C et D.|La demi-droite d’origine A est parallèle à la droite passant par C et D._x000a__x000a_"/>
    <m/>
  </r>
  <r>
    <n v="175"/>
    <s v="Décrire par les mots de vocabulaire précis cette notation mathématique : B ∈ (CD)"/>
    <s v="Communiquer"/>
    <s v="Le point B appartient à la droite passant par C et par D"/>
    <x v="2"/>
    <s v="Le point B appartient à la droite passant par C et D.|Le point B appartient au segment [CD].|Le point B appartient à la demi-droite d’origine C et passant par D.|"/>
    <m/>
  </r>
  <r>
    <n v="176"/>
    <s v="Décrire par les mots de vocabulaire précis cette notation mathématique : B ∉ (CD)"/>
    <s v="Communiquer"/>
    <s v="Le point B n’appartient pas à la droite passant par C et par D"/>
    <x v="2"/>
    <s v="Le point B n’appartient pas à la droite passant par C et D.|Le point B n’appartient pas au segment [CD].|Le point B n’appartient pas à la demi-droite d’origine C et passant par D."/>
    <m/>
  </r>
  <r>
    <n v="177"/>
    <s v="Donner l’écriture scientifique de : 129,06 × 10^-5 "/>
    <s v="Communiquer"/>
    <s v="1,290 6 × 10^-3"/>
    <x v="0"/>
    <s v="1,2906×10^-3|12,906×10^ -4|0,12906×10^ -2"/>
    <m/>
  </r>
  <r>
    <n v="178"/>
    <s v="Vrai ou faux ? Justifier. 1÷3=0,333"/>
    <s v="Communiquer"/>
    <s v="Faux ce n’est pas une valeur exacte mais une valeur approchée. Il faut écrire 1÷3≈0,333"/>
    <x v="4"/>
    <s v="F"/>
    <m/>
  </r>
  <r>
    <n v="179"/>
    <s v="Calculer 7^-2 ?"/>
    <s v="Communiquer"/>
    <s v="C’est l’inverse de 7² soit 1/49"/>
    <x v="0"/>
    <n v="17899"/>
    <m/>
  </r>
  <r>
    <n v="180"/>
    <s v="Calculer 2⁴ ?"/>
    <s v="Communiquer"/>
    <s v="C’est 2 x 2 x 2 x 2 soit 16 !"/>
    <x v="0"/>
    <n v="16"/>
    <m/>
  </r>
  <r>
    <n v="181"/>
    <s v="A quels préfixes correspondent 10⁶ et 10^-6 ? Donner les notations correspondantes"/>
    <s v="Communiquer"/>
    <s v="10⁶ correspond au méga noté M et 10-6 correspond au micro noté µ"/>
    <x v="2"/>
    <s v="10⁶ correspond au méga noté M et 10⁻⁶ correspond au micro noté µ.|10⁶ correspond au kilo noté k et 10⁻⁶ correspond au milli noté m.|10⁶ correspond au giga noté G et 10⁻⁶ correspond au nano noté n."/>
    <m/>
  </r>
  <r>
    <n v="182"/>
    <s v="A quels préfixes correspondent 10³ et 10^-3 ? Donner les notations correspondantes"/>
    <s v="Communiquer"/>
    <s v="10³ correspond au kilo noté k et 10^-3 correspond au milli noté m"/>
    <x v="2"/>
    <s v="10³ correspond au kilo noté k et 10⁻³ correspond au milli noté m.|10³ correspond au méga noté M et 10⁻³ correspond au micro noté µ.|10³ correspond au giga noté G et 10⁻³ correspond au nano noté n."/>
    <m/>
  </r>
  <r>
    <n v="183"/>
    <s v="A quels préfixes correspondent 10⁹ et 10^-9 ? Donner les notations correspondantes"/>
    <s v="Communiquer"/>
    <s v="10⁹ correspond au Giga noté G et 10^-9 correspond au nano noté n"/>
    <x v="2"/>
    <s v="10⁹ correspond au giga noté G et 10⁻⁹ correspond au nano noté n.|10⁹ correspond au méga noté M et 10⁻⁹ correspond au micro noté µ.|10⁹ correspond au kilo noté k et 10⁻⁹ correspond au milli noté m."/>
    <m/>
  </r>
  <r>
    <n v="184"/>
    <s v="Qu’est-ce qu’une écriture scientifique ?"/>
    <s v="Communiquer"/>
    <s v="C’est l’écriture sous la forme d’un produit d’un nombre compris entre 1 (inclus) et 10 (exclu) et d’une puissance de 10. Cette écriture est unique : a×10ⁿ"/>
    <x v="2"/>
    <s v="C’est l’écriture sous la forme d’un produit d’un nombre compris entre 1 (inclus) et 10 (exclu) et d’une puissance de 10.|C’est l’écriture d’un nombre avec une puissance de 10 uniquement.|C’est une forme d’écriture pour représenter les petits nombres."/>
    <m/>
  </r>
  <r>
    <n v="185"/>
    <s v="Énoncer la signification de tous les codages"/>
    <s v="Communiquer"/>
    <s v="Il y a 2 côtés de même longueur et 2 angles de même mesure."/>
    <x v="2"/>
    <s v="Il y a 2 côtés de même longueur et 2 angles de même mesure.|Les angles sont tous égaux.|Il y a 3 côtés de même longueur."/>
    <s v="oui"/>
  </r>
  <r>
    <n v="186"/>
    <s v="Énoncer la signification de tous les codages"/>
    <s v="Communiquer"/>
    <s v="NM = ML ; LK = KM  LNM = LMN"/>
    <x v="2"/>
    <s v="NM = ML ; LK = KM  LNM = LMN|NM = ML ; LK = KM  LNM = LMN|NM = NL ; LK = KM  LNM = LMN"/>
    <s v="oui"/>
  </r>
  <r>
    <n v="187"/>
    <s v="Énoncer la signification de tous les codages"/>
    <s v="Communiquer"/>
    <s v="EIF = HIG et FEI = IGF"/>
    <x v="2"/>
    <s v="EIF = HIG et FEI = IGF|EIF = FEI et FEI = HIG|EIF = HIG et EHG = EFG"/>
    <s v="oui"/>
  </r>
  <r>
    <n v="188"/>
    <s v="Énoncer la signification de tous les codages"/>
    <s v="Communiquer"/>
    <s v="KJ = 3 cm LM = KL ;  LKJ = KJM = 90°"/>
    <x v="2"/>
    <s v="KJ = 3 cm LM = KL ;  LKJ = KJM = 90°|KJ = 3 cm LM = KL ;  LKJ = KJM = 45°|KJ = 3 cm LM = KM ;  LKJ = KJM = 45°"/>
    <s v="oui"/>
  </r>
  <r>
    <n v="189"/>
    <s v="Énoncer la signification de tous les codages"/>
    <s v="Communiquer"/>
    <s v="HJ = 4 cm; HK = 2 cm M milieu de [LI] IK = 7 cm ; KHJ = NKL = NML = 90°"/>
    <x v="2"/>
    <s v="HJ = 4 cm; HK = 2 cm M milieu de [LI] IK = 7 cm ; KHJ = NKL = NML = 90°|HJ = 2 cm; HK = 4 cm M milieu de [LI] IK = 7 cm ; KHJ = NKL = NML = 45°|HK = 2 cm; HJ = 4 cm M milieu de [LK] IK = 7 cm ; KHJ = NKL = NML = 45°|"/>
    <s v="oui"/>
  </r>
  <r>
    <n v="190"/>
    <s v="Décrire par une phrase en employant les mots de vocabulaire qui conviennent la notation suivante : f(2) = 3"/>
    <s v="Communiquer"/>
    <s v="L’image de 2 par la fonction f est 3."/>
    <x v="2"/>
    <s v="L’image de 2 par la fonction f est 3.|La fonction f à l’origine 2 donne le résultat 3.|L’image de 3 par la fonction f est 2."/>
    <m/>
  </r>
  <r>
    <n v="191"/>
    <s v="Décrire par une phrase en employant les mots de vocabulaire qui conviennent la notation suivante : f(- 4) = 7"/>
    <s v="Communiquer"/>
    <s v="L’image de - 4 par la fonction f est 7."/>
    <x v="2"/>
    <s v="L’image de -4 par la fonction f est 7.|La fonction f à l’origine -4 donne le résultat 7.|L’image de 7 par la fonction f est -4."/>
    <m/>
  </r>
  <r>
    <n v="192"/>
    <s v="Décrire par une phrase en employant les mots de vocabulaire qui conviennent la notation suivante : h : - 5 → 12"/>
    <s v="Communiquer"/>
    <s v="L’image de - 5 par la fonction h est 12."/>
    <x v="2"/>
    <s v="L’image de -5 par la fonction h est 12.|La fonction h à l’origine -5 donne le résultat 12.|L’image de 12 par la fonction h est -5."/>
    <m/>
  </r>
  <r>
    <n v="193"/>
    <s v="Le lundi, à l’ouverture du magasin, un article de sport est vendu 60 €. Le mardi, son prix baisse de 30 %. Le mercredi, il remonte de 40 %. Quel est le dernier prix de l’article."/>
    <s v="Proportionnalité"/>
    <s v="60 x 0,7 x 1,4 = 58,8 € Le dernier prix est 58,8 €"/>
    <x v="0"/>
    <s v="58,8|58,8€"/>
    <m/>
  </r>
  <r>
    <n v="194"/>
    <s v="Un club de natation rassemble 600 licenciés : 240 femmes et 360 hommes. 40 % des femmes et 60 % des hommes font de la compétition. Quel est le pourcentage de licenciés qui font de la compétition ?"/>
    <s v="Proportionnalité"/>
    <s v="240 x 0,4 + 360 x 0,6 = 96 + 216 = 312 312 licenciés font de la compétition. 312 / 600 x 100 = 52 Il y a 52 % des licenciés qui font de la compétition"/>
    <x v="0"/>
    <s v="52|52%"/>
    <m/>
  </r>
  <r>
    <n v="195"/>
    <s v="Dans sa bibliothèque, Malo possède 80 livres et 60 bandes dessinées. Malo donne 30 % de ses livres et 45 % de ces BD à l’école. Quel pourcentage de sa bibliothèque Malo a-t-il donné ? arrondir à l’unité."/>
    <s v="Proportionnalité"/>
    <s v="80 x 0,3 + 60 x 0,45 = 24 + 27 = 51 Malo a donné 51 ouvrages. 51/ 140 x 100 ≈ 36,4 L’arrondi à l’unité est donc 36 %"/>
    <x v="0"/>
    <s v="36|36%"/>
    <m/>
  </r>
  <r>
    <n v="196"/>
    <s v="Le lundi, à l’ouverture du magasin, un article de sport est vendu 90 €. Le mardi, son prix augmente de 30 %. Le mercredi, il baisse de 30 %. Quel est le dernier prix de l’article ?"/>
    <s v="Proportionnalité"/>
    <s v="90 x 0,7 x 1,3 = 81,9 € Le dernier prix est 81,9 €"/>
    <x v="0"/>
    <s v="81,9|81,9€"/>
    <m/>
  </r>
  <r>
    <n v="197"/>
    <s v="Un club de tennis rassemble 800 licenciés : 270 femmes et 530 hommes. 30 % des femmes et 40 % des hommes font de la compétition. Quel est le pourcentage de licenciés qui font de la compétition ? arrondir à l’unité."/>
    <s v="Proportionnalité"/>
    <s v="270 x 0,3 + 530 x 0,4 = 81 + 212 = 293 licenciés font de la compétition. 293 / 800 x 100 = 36,625 Il y a 36,625 % des licenciés qui font de la compétition soit 37%"/>
    <x v="0"/>
    <s v="37|37%"/>
    <m/>
  </r>
  <r>
    <n v="198"/>
    <s v="Un club de gym rassemble 500 licenciés : 380 femmes et 120 hommes. 60 % des femmes et 80 % des hommes font de la compétition. Quel est le pourcentage de licenciés qui font de la compétition ? arrondir à l’unité."/>
    <s v="Proportionnalité"/>
    <s v="380 x 0,6 + 120 x 0,8 = 228 + 96 = 324 licenciés font de la compétition. 324 / 500 x 100 = 64,8 % Il y a 64,8 % des licenciés qui font de la compétition soit 65%"/>
    <x v="0"/>
    <s v="65|65%"/>
    <m/>
  </r>
  <r>
    <n v="199"/>
    <s v="Timothée souhaite acheter 2 pneus. Quelle est l’offre la plus avantageuse ? Offre A : - 25 % sur chaque pneu acheté. Offre B : - 50 % sur le second pneu acheté."/>
    <s v="Proportionnalité"/>
    <s v="Cela revient au même ! Soit y le prix du pneu Offre A : prix de 2 pneus = y x 0,75 x 2 = y x 1,5 Offre B : prix de 2 pneus = y + y x 0,5 = y x 1,5 C’est le même tarif !"/>
    <x v="2"/>
    <s v="Les deux offres sont identiques, elles reviennent au même prix total.|L'offre A est plus avantageuse, car elle réduit de 25 % le prix de chaque pneu.|L'offre B est plus avantageuse, car elle réduit de 50 % le prix du second pneu."/>
    <m/>
  </r>
  <r>
    <n v="200"/>
    <s v="Ambre souhaite acheter un blouson de ski affiché à 148,50 €. Il y a une promotion, elle ne paye finalement que 103,95€ Quel a été le pourcentage de remise de ce blouson ?"/>
    <s v="Proportionnalité"/>
    <s v="148,50 – 103,95 = 44,55 44,55 / 148,5 x 100 = 30 La remise a été de 30 %"/>
    <x v="0"/>
    <s v="30|30%"/>
    <m/>
  </r>
  <r>
    <n v="201"/>
    <s v="Le tableau suivant est-il un tableau de proportionnalité ? "/>
    <s v="Proportionnalité"/>
    <s v="15 : 5 = 3 20 : 10 = 2 Les quotients ne sont pas égaux donc NON"/>
    <x v="4"/>
    <s v="F"/>
    <m/>
  </r>
  <r>
    <n v="202"/>
    <s v="Le tableau suivant est-il un tableau de proportionnalité ? "/>
    <s v="Proportionnalité"/>
    <s v="20 : 5 = 4 40 : 10 = 4 60 : 15 = 4 Les quotients sont tous égaux donc OUI."/>
    <x v="4"/>
    <s v="V"/>
    <s v="oui"/>
  </r>
  <r>
    <n v="203"/>
    <s v="Le tableau suivant est-il un tableau de proportionnalité ? "/>
    <s v="Proportionnalité"/>
    <s v="4 : 1 = 4 22 : 5,5 = 4 Mais 11 x 4 = 44 et non 40 Ce n’est pas toujours le même coefficient de proportionnalité donc NON."/>
    <x v="4"/>
    <s v="F"/>
    <s v="oui"/>
  </r>
  <r>
    <n v="204"/>
    <s v="Le tableau suivant est-il un tableau de proportionnalité ? "/>
    <s v="Proportionnalité"/>
    <s v="30 : 6 = 5 42 : 7 = 6 Les quotients ne sont pas tous égaux donc NON."/>
    <x v="4"/>
    <s v="F"/>
    <s v="oui"/>
  </r>
  <r>
    <n v="205"/>
    <s v="Le tableau suivant est-il un tableau de proportionnalité ? "/>
    <s v="Proportionnalité"/>
    <s v="6 : 2 = 3 3 x 8,5 = 25,5 3 x 10,5 = 31,5 C’est toujours le même coefficient de proportionnalité donc OUI."/>
    <x v="4"/>
    <s v="V"/>
    <s v="oui"/>
  </r>
  <r>
    <n v="206"/>
    <s v="Le tableau suivant est-il un tableau de proportionnalité ? "/>
    <s v="Proportionnalité"/>
    <s v="5,25 x 2 = 10,5 Mais 15,25 x 2 = 30,5 et non 30 ! Ce n’est pas toujours le même coefficient de proportionnalité donc NON."/>
    <x v="4"/>
    <s v="F"/>
    <s v="oui"/>
  </r>
  <r>
    <n v="207"/>
    <s v="Le tableau suivant est-il un tableau de proportionnalité ?"/>
    <s v="Proportionnalité"/>
    <s v="2 x 3 = 6 3,4 x 3 = 10,2 2+6 = 8 et 3,4 + 10,2 = 13,6 Les propriétés d’additivité sont respectées donc OUI."/>
    <x v="4"/>
    <s v="V"/>
    <s v="oui"/>
  </r>
  <r>
    <n v="208"/>
    <s v="Le tableau suivant est-il un tableau de proportionnalité ? "/>
    <s v="Proportionnalité"/>
    <s v="5 x 2 = 10 49 x 2 = 98 5 + 10 = 15 et 49 + 98 = 147 et non 137 Les propriétés d’additivité ne sont pas respectées donc NON."/>
    <x v="4"/>
    <s v="F"/>
    <s v="oui"/>
  </r>
  <r>
    <n v="209"/>
    <s v="Compléter ce tableau de proportionnalité par les valeurs qui conviennent."/>
    <s v="Proportionnalité"/>
    <s v="a = 77 b= 9"/>
    <x v="1"/>
    <s v="77| pour a et |9| pour b"/>
    <s v="oui"/>
  </r>
  <r>
    <n v="210"/>
    <s v="Compléter ce tableau de proportionnalité par les valeurs qui conviennent."/>
    <s v="Proportionnalité"/>
    <s v="a = 1,1 b= 65,5"/>
    <x v="1"/>
    <s v="1,1| pour a et |65,5| pour b"/>
    <s v="oui"/>
  </r>
  <r>
    <n v="211"/>
    <s v="Compléter ce tableau de proportionnalité par les valeurs qui conviennent."/>
    <s v="Proportionnalité"/>
    <s v="a = 10,5 b= 12"/>
    <x v="1"/>
    <s v="10,5| pour a et |12| pour b"/>
    <s v="oui"/>
  </r>
  <r>
    <n v="212"/>
    <s v="Compléter ce tableau de proportionnalité par les valeurs qui conviennent."/>
    <s v="Proportionnalité"/>
    <s v="a = 8 b= 1,2"/>
    <x v="1"/>
    <s v="8| pour a et |1,2| pour b"/>
    <s v="oui"/>
  </r>
  <r>
    <n v="213"/>
    <s v="Compléter ce tableau de proportionnalité par les valeurs qui conviennent."/>
    <s v="Proportionnalité"/>
    <s v="a = 0,1 b= 140"/>
    <x v="1"/>
    <s v="0,1| pour a et |140| pour b"/>
    <s v="oui"/>
  </r>
  <r>
    <n v="214"/>
    <s v="Compléter ce tableau de proportionnalité par les valeurs qui conviennent."/>
    <s v="Proportionnalité"/>
    <s v="a = 0,75 b= 15"/>
    <x v="1"/>
    <s v="0,75| pour a et |15| pour b"/>
    <s v="oui"/>
  </r>
  <r>
    <n v="215"/>
    <s v="Compléter ce tableau de proportionnalité par les valeurs qui conviennent."/>
    <s v="Proportionnalité"/>
    <s v="a = 15 b= 43,2"/>
    <x v="1"/>
    <s v="15| pour a et |43,2| pour b"/>
    <s v="oui"/>
  </r>
  <r>
    <n v="216"/>
    <s v="Compléter ce tableau de proportionnalité par les valeurs qui conviennent."/>
    <s v="Proportionnalité"/>
    <s v="a = 0,48 b= 10"/>
    <x v="1"/>
    <s v="0,48| pour a et |10| pour b"/>
    <s v="oui"/>
  </r>
  <r>
    <n v="217"/>
    <s v="Donner l’opposé de 32"/>
    <s v="Communiquer"/>
    <n v="-32"/>
    <x v="0"/>
    <n v="-32"/>
    <s v="oui"/>
  </r>
  <r>
    <n v="218"/>
    <s v="Donner l’opposé de − 154"/>
    <s v="Communiquer"/>
    <n v="154"/>
    <x v="0"/>
    <n v="154"/>
    <m/>
  </r>
  <r>
    <n v="219"/>
    <s v="Donner l’opposé de l’inverse 7"/>
    <s v="Communiquer"/>
    <s v="−1/7 "/>
    <x v="0"/>
    <n v="-0.14285714285714285"/>
    <m/>
  </r>
  <r>
    <n v="220"/>
    <s v="Donner l’opposé de l’inverse −1/11"/>
    <s v="Communiquer"/>
    <n v="11"/>
    <x v="0"/>
    <n v="11"/>
    <m/>
  </r>
  <r>
    <n v="221"/>
    <s v="Donner l’inverse de 4"/>
    <s v="Communiquer"/>
    <s v="1/4"/>
    <x v="0"/>
    <s v="1/4"/>
    <m/>
  </r>
  <r>
    <n v="222"/>
    <s v="Donner l’inverse de −10/3"/>
    <s v="Communiquer"/>
    <n v="-0.3"/>
    <x v="0"/>
    <n v="-0.3"/>
    <m/>
  </r>
  <r>
    <n v="223"/>
    <s v="Donner l’inverse de l’opposé −9/8"/>
    <s v="Communiquer"/>
    <n v="-5.5555555999999999E-2"/>
    <x v="0"/>
    <n v="-5.5555555555555552E-2"/>
    <m/>
  </r>
  <r>
    <n v="224"/>
    <s v="Donner l’inverse de l’opposé 18"/>
    <s v="Communiquer"/>
    <s v="(08/09)"/>
    <x v="0"/>
    <s v="8/9"/>
    <m/>
  </r>
  <r>
    <n v="225"/>
    <s v="Que signifie que le plan est à l’échelle 1/100000 ?"/>
    <s v="Proportionnalité"/>
    <s v="1 cm sur le plan correspond à 100 000 cm en réalité"/>
    <x v="2"/>
    <s v="1 cm sur le plan correspond à 100 000 cm en réalité.|1 cm sur le plan correspond à 1 000 000 cm en réalité.|1 cm sur le plan correspond à 10 000 cm en réalité."/>
    <m/>
  </r>
  <r>
    <n v="226"/>
    <s v="Que signifie que le plan est à l’échelle 1/1000000 ?"/>
    <s v="Proportionnalité"/>
    <s v="1 cm sur le plan correspond à 1 000 000 cm en réalité"/>
    <x v="2"/>
    <s v="1 cm sur le plan correspond à 1 000 000 cm en réalité.|1 cm sur le plan correspond à 10 000 000 cm en réalité.|1 cm sur le plan correspond à 100 000 cm en réalité."/>
    <m/>
  </r>
  <r>
    <n v="227"/>
    <s v="Que signifie cette échelle ?"/>
    <s v="Proportionnalité"/>
    <s v="La taille réelle de ce lymphocyte est 2 200 fois plus petite."/>
    <x v="2"/>
    <s v="La taille du lymphocyte est 2 200 fois plus petite.|La taille du lymphocyte est agrandie 2 200 fois.|La taille du lymphocyte est 2 200 fois plus grande."/>
    <s v="oui"/>
  </r>
  <r>
    <n v="228"/>
    <s v="Que signifie cette échelle ?"/>
    <s v="Proportionnalité"/>
    <s v="La longueur du segment sur la photo correspond en réalité à 1 μm soit 10-6 m."/>
    <x v="2"/>
    <m/>
    <s v="oui"/>
  </r>
  <r>
    <n v="229"/>
    <s v="On a les données suivantes : Distance sur le plan : 7 cm Distance en réalité : 3,50 m Quelle est l’échelle de ce plan ?"/>
    <s v="Proportionnalité"/>
    <s v="3,50 m = 350 cm 7/350 = 1/50 L’échelle est 1 / 50"/>
    <x v="0"/>
    <n v="18264"/>
    <m/>
  </r>
  <r>
    <n v="230"/>
    <s v="Quelle serait la taille réelle du virus de la grippe si on a ces données ? taille du segment = 2,6 cm taille du virus sur la photo = 4,6 cm"/>
    <s v="Proportionnalité"/>
    <s v="Calcul de la taille réelle : 4,6 x 70 / 2,6 = 124 nm"/>
    <x v="0"/>
    <m/>
    <s v="oui"/>
  </r>
  <r>
    <n v="231"/>
    <s v="On a les données suivantes : Distance sur le plan : 4,5 cm Distance en réalité : 225 m Quelle est l’échelle de ce plan ?"/>
    <s v="Proportionnalité"/>
    <s v="225 m = 22 500 cm 4,5/22 500 = 1/5 000 L’échelle est 1 / 5 000"/>
    <x v="0"/>
    <n v="1132254"/>
    <m/>
  </r>
  <r>
    <n v="232"/>
    <s v="On a les données suivantes : Distance sur la photo : 12 cm Distance en réalité : 0,04 mm Quelle est l’échelle de ce plan ?"/>
    <s v="Proportionnalité"/>
    <s v="12 cm = 120 mm 0,04 = 4 /100 mm 120 / 0,04 = 120 x 100/4 = 3 000 L’échelle est 3 000"/>
    <x v="0"/>
    <n v="3000"/>
    <m/>
  </r>
  <r>
    <n v="233"/>
    <s v="Réduire 7x×3+9+8x²−5x+6−7x²"/>
    <s v="Calcul littéral"/>
    <s v="x²+16x+15"/>
    <x v="5"/>
    <s v="1|x²|16|x|15|"/>
    <m/>
  </r>
  <r>
    <n v="234"/>
    <s v="Réduire 8&quot;+10+6&quot;!−3&quot;+6+2&quot;!×4"/>
    <s v="Calcul littéral"/>
    <s v="14x²+5x+16"/>
    <x v="5"/>
    <s v="14|x²|5|x|16|"/>
    <m/>
  </r>
  <r>
    <n v="235"/>
    <s v="Réduire 4x−8+9x²+7x−10×7+17x²"/>
    <s v="Calcul littéral"/>
    <s v="26x²+11x−78"/>
    <x v="5"/>
    <s v="26|x²|11|x|-78|"/>
    <m/>
  </r>
  <r>
    <n v="236"/>
    <s v="Réduire −4x²+5x−11×6+9x²−15x"/>
    <s v="Calcul littéral"/>
    <s v="5x²−10x−66"/>
    <x v="5"/>
    <s v="5|x²|-10|x|-66|"/>
    <m/>
  </r>
  <r>
    <n v="237"/>
    <s v="Développer et réduire 3x(4x−2)−5x²+7x+6"/>
    <s v="Calcul littéral"/>
    <s v="7x²+x+6"/>
    <x v="5"/>
    <s v="7|x²|1|x|6|"/>
    <m/>
  </r>
  <r>
    <n v="238"/>
    <s v="Développer et réduire 5x(−x+7)−4x²+6x−18"/>
    <s v="Calcul littéral"/>
    <s v="−9x²+41x−18"/>
    <x v="5"/>
    <s v="-9|x²|41|x|-18|"/>
    <m/>
  </r>
  <r>
    <n v="239"/>
    <s v="Développer et réduire 11(2x−3)−x²+7x−8"/>
    <s v="Calcul littéral"/>
    <s v="−x²+29x−41"/>
    <x v="5"/>
    <s v="-9|x²|29|x|-41|"/>
    <m/>
  </r>
  <r>
    <n v="240"/>
    <s v="Développer et réduire −7(3x−9)−2(x²+7)−x+13"/>
    <s v="Calcul littéral"/>
    <s v="−2x²−22x+62"/>
    <x v="5"/>
    <s v="-2|x²|-22|x|62|"/>
    <m/>
  </r>
  <r>
    <n v="241"/>
    <s v="Développer et réduire 8(−x+12)−3(2x²+10)−4x−1"/>
    <s v="Calcul littéral"/>
    <s v="−6x²−12x+65"/>
    <x v="5"/>
    <s v="-6|x²|-12|x|65|"/>
    <m/>
  </r>
  <r>
    <n v="242"/>
    <s v="Développer et réduire 3(x+2/3)−(4x²+5x−6)−14x−9"/>
    <s v="Calcul littéral"/>
    <s v="−4x²−16x−1"/>
    <x v="5"/>
    <s v="-4|x²|-16|x|-1|"/>
    <m/>
  </r>
  <r>
    <n v="243"/>
    <s v="Développer et réduire 5x−6−2x²−(7x−10)×3x+40"/>
    <s v="Calcul littéral"/>
    <s v="−23x²−25x+34"/>
    <x v="5"/>
    <s v="-23|x²|-25|x|34|"/>
    <m/>
  </r>
  <r>
    <n v="244"/>
    <s v="Développer et réduire −6x²+5(2x−11)−3×6x+9(x²−x)"/>
    <s v="Calcul littéral"/>
    <s v="3x²−17x−55"/>
    <x v="5"/>
    <s v="3|x²|-17|x|-55|"/>
    <m/>
  </r>
  <r>
    <n v="245"/>
    <s v="Développer et réduire (9x−8)(7x−3)"/>
    <s v="Calcul littéral"/>
    <s v="63x²−83x+35"/>
    <x v="5"/>
    <s v="62|x²|-83|x|35|"/>
    <m/>
  </r>
  <r>
    <n v="246"/>
    <s v="Développer et réduire (−2x+7)(6x+5)"/>
    <s v="Calcul littéral"/>
    <s v="−12x²+32x+35"/>
    <x v="5"/>
    <s v="-12|x²|32|x|35|"/>
    <m/>
  </r>
  <r>
    <n v="247"/>
    <s v="Développer et réduire (2x−1)(7x−3)"/>
    <s v="Calcul littéral"/>
    <s v="14x²−13x+3"/>
    <x v="5"/>
    <s v="14|x²|-13|x|3|"/>
    <m/>
  </r>
  <r>
    <n v="248"/>
    <s v="Développer et réduire −7(3x−9)(10x+4)"/>
    <s v="Calcul littéral"/>
    <s v="−210x²+546x+252"/>
    <x v="5"/>
    <s v="-210|x²|546|x|252|"/>
    <m/>
  </r>
  <r>
    <n v="249"/>
    <s v="Trouve le nombre qui complète cette suite logique. 1 ; 3 ; 7 ; 15 ; 31 ; 63 ; ?"/>
    <s v="Logique"/>
    <s v="C’est 127. L’écart est doublé entre chaque nombre +2 ; +4 ; +8 ; +16 ; +32 ; +64"/>
    <x v="0"/>
    <n v="127"/>
    <m/>
  </r>
  <r>
    <n v="250"/>
    <s v="Trouve le nombre qui complète cette suite logique. 2 ; 3 ; 6 ; 18 ; 108 ; ?"/>
    <s v="Logique"/>
    <s v="C’est 1 944. On multiplie les deux nombres précédents."/>
    <x v="0"/>
    <n v="1944"/>
    <m/>
  </r>
  <r>
    <n v="251"/>
    <s v="Trouve le nombre qui complète cette suite logique. 25 ; 36 ; 49 ; 64 ;81 ;100 ; ?"/>
    <s v="Logique"/>
    <s v="C’est 121. Ce sont les carrés de 5 ; 6 ; 7 ; 8 ; 9 ; 10 et 11"/>
    <x v="0"/>
    <n v="121"/>
    <m/>
  </r>
  <r>
    <n v="252"/>
    <s v="Un bœuf vaut 20 chèvres. Une chèvre vaut 5 poulets. Une souris vaut 13 œufs. Un poulet vaut 4 douzaines d’œufs. Combien d’œufs vaut 1 bœuf ?"/>
    <s v="Logique"/>
    <n v="4800"/>
    <x v="0"/>
    <n v="4800"/>
    <m/>
  </r>
  <r>
    <n v="253"/>
    <s v="Derrière une palissade, se cachent des lapins et des poules. On peut voir 54 pattes et 20 têtes. Combien y a –t-il de lapins et de poules ?"/>
    <s v="Logique"/>
    <s v="7 lapins et 13 poules ."/>
    <x v="1"/>
    <s v="7|lapins|13|poules"/>
    <m/>
  </r>
  <r>
    <n v="254"/>
    <s v="La prof de maths a été enlevée ! La police a trois suspects, deux mentent toujours et un seul dit toujours la vérité. Voici un extrait de l'interrogatoire : Ambre : « Timothée n'est pas un menteur » Timothée : « Je n'ai pas enlevé la prof.» Malo : « Ambre n'a pas enlevé la prof » Qui a enlevé la prof de maths ???"/>
    <s v="Logique"/>
    <s v="C’est Timothée le coupable."/>
    <x v="2"/>
    <s v="Timothée|Ambre|Malo"/>
    <m/>
  </r>
  <r>
    <n v="255"/>
    <s v="Laquelle de ces cinq formes proposées ne permet pas de compléter l’assemblage pour obtenir un pavé droit ?"/>
    <s v="Logique"/>
    <s v="C’est la D."/>
    <x v="2"/>
    <s v="D|A|B|C|E"/>
    <s v="oui"/>
  </r>
  <r>
    <n v="256"/>
    <s v="On commande à une entreprise cent plaques de rue numérotées de 1 à 100. Combien de fois le chiffre 5 apparaîtra?"/>
    <s v="Logique"/>
    <s v="Le chiffre 5 apparaît 20 fois."/>
    <x v="0"/>
    <s v="20|20 fois"/>
    <m/>
  </r>
  <r>
    <n v="257"/>
    <s v="Chez Roland, les raquettes et les balles s’achètent en « Nadales ». 50 Nadales = 1 balle et 1 raquette 120 Nadales =  3 balles et 2 raquettes Combien de Nadales coûte une balle ?"/>
    <s v="Logique"/>
    <s v="1 balle coûte 20 Nadales."/>
    <x v="0"/>
    <s v="20|20 Nadales"/>
    <m/>
  </r>
  <r>
    <n v="258"/>
    <s v="Remplacer les points d’interrogation par les valeurs manquantes :"/>
    <s v="Logique"/>
    <s v="1 et 2"/>
    <x v="2"/>
    <m/>
    <s v="oui"/>
  </r>
  <r>
    <n v="259"/>
    <s v="Quelle est la mesure de l’angle formé par les aiguilles ?"/>
    <s v="Logique"/>
    <s v="La mesure de l’angle formé par les 2 aiguilles est 120°"/>
    <x v="0"/>
    <s v="120|120°"/>
    <s v="oui"/>
  </r>
  <r>
    <n v="260"/>
    <s v="On forme la figure A en posant côte à côte 3 bandes de papier de 4 cm de large. Chaque bande dépasse la précédente de 25 cm. On forme la figure B en changeant l’ordre des bandes. De combien le périmètre de B dépasse-t-il celui de A ?"/>
    <s v="Logique"/>
    <s v="Le périmètre de B dépasse de 50 cm."/>
    <x v="0"/>
    <s v="50|50 cm"/>
    <s v="oui"/>
  </r>
  <r>
    <n v="261"/>
    <s v="76 personnes passent par des chemins dessinés ci-contre. Quand un chemin se divise en deux, on sait que le groupe de personnes arrivant se partage équitablement en deux. Combien de personnes vont arriver au stand A ?"/>
    <s v="Logique"/>
    <s v="Il y aura 57 personnes au stand A."/>
    <x v="0"/>
    <s v="57|57 personnes"/>
    <s v="oui"/>
  </r>
  <r>
    <n v="262"/>
    <s v="3 × 2023 = 2019 + 2029 + coeur alors coeur = ???"/>
    <s v="Logique"/>
    <n v="2021"/>
    <x v="0"/>
    <n v="2021"/>
    <m/>
  </r>
  <r>
    <n v="263"/>
    <s v="Les sommets du petit carré se trouvent au milieu des côtés du grand carré. L’aire du petit carré est de 49 m², quelle est l’aire du grand carré ?"/>
    <s v="Logique"/>
    <s v="L’aire 98 cm2"/>
    <x v="0"/>
    <s v="98|98 cm²| 98 cm2|98 cm^2"/>
    <s v="oui"/>
  </r>
  <r>
    <n v="264"/>
    <s v="Ma montre digitale vient juste d’afficher 12 :43. Dans combien de minutes verrai-je pour la première fois les mêmes quatre chiffres (pas forcément dans le même ordre) à l’affichage ?"/>
    <s v="Logique"/>
    <s v="Dans 41 minutes"/>
    <x v="0"/>
    <s v="41|41 min|41 minutes"/>
    <m/>
  </r>
  <r>
    <n v="265"/>
    <s v="Les cinq signes représentent cinq chiffres différents. Que représente le signe φ ? δ + δ + δ = ξ σ + σ + σ = β ξ + β = φ"/>
    <s v="Logique"/>
    <s v="C’est 9"/>
    <x v="0"/>
    <n v="9"/>
    <m/>
  </r>
  <r>
    <n v="266"/>
    <s v="La figure ci-contre montre un pentagone étoilé. Quatre angles sont marqués. Si !&quot; = 110°, # $ = 92° et % = 57°, combien mesure l’angle '&quot;?"/>
    <s v="Logique"/>
    <s v="C’est 39 °"/>
    <x v="0"/>
    <s v="39|39°"/>
    <s v="oui"/>
  </r>
  <r>
    <n v="267"/>
    <s v="Combien vaut la fraction (2023 + 2023 +2023 +2023 - 2023)/2023 +2023 "/>
    <s v="Logique"/>
    <s v="Elle vaut 3/2"/>
    <x v="0"/>
    <s v="3/2"/>
    <m/>
  </r>
  <r>
    <n v="268"/>
    <s v="Un homard vaut 30 langoustes. Une araignée vaut 10 bigorneaux. Une langouste vaut 7 gambas. Une gambas vaut 5 douzaines d’huitres. Combien d’huitres vaut un homard ?"/>
    <s v="Logique"/>
    <s v="C’est 12 600 huîtres."/>
    <x v="0"/>
    <s v="12600|12600 huîtres|12600 huitres"/>
    <m/>
  </r>
  <r>
    <n v="269"/>
    <s v="Ma montre digitale vient juste d’afficher 10 : 53. Dans combien de minutes verrai-je pour la première fois les mêmes quatre chiffres (pas forcément dans le même ordre) à l’affichage ?"/>
    <s v="Logique"/>
    <s v="Dans 132 minutes"/>
    <x v="0"/>
    <s v="132|132 min | 132 minutes"/>
    <m/>
  </r>
  <r>
    <n v="270"/>
    <s v="2 poussins marchent devant 1 poussin. 2 poussins marchent derrière 1 poussin. 1 poussin est au milieu. Combien y a-t-il de poussins ?"/>
    <s v="Logique"/>
    <s v="Il y a 3 poussins"/>
    <x v="0"/>
    <s v="3|3 poussins"/>
    <m/>
  </r>
  <r>
    <n v="271"/>
    <s v="Quel est l’intrus ? "/>
    <s v="Logique"/>
    <s v="C’est le c/ car ce n’est pas une perspective cavalière d’un solide."/>
    <x v="2"/>
    <s v="c|a|b|d|e"/>
    <s v="oui"/>
  </r>
  <r>
    <n v="272"/>
    <s v="Un tournoi de tennis entre 12 joueurs est organisé. Le principe est l’élimination directe : un joueur qui a perdu un match ne peut participer à d’autres matchs. Quel est le nombre de parties jouées ?"/>
    <s v="Logique"/>
    <s v="Il y aura 11 matchs."/>
    <x v="0"/>
    <s v="11|11 matchs"/>
    <m/>
  </r>
  <r>
    <n v="273"/>
    <s v="Harry, Hermione et Ron jettent des sorts (Endoloris, Stupéfix et Incendio) dans 3 lieux différents (Poudlard, chaudron baveur et terrain de Quidditch). L’un d’eux jette le sort Incendio dans Poudlard. Une heure plus tard, Hermione s’exerce dans le chaudron baveur. Pendant ce temps, Ron envoie stupéfix. Retrouve le prénom, le sort et le lieu correspondant à chacun."/>
    <s v="Logique"/>
    <s v="Harry avec le sort Incendio à Poudlard Hermione avec le sort Endoloris au chaudron baveur. Ron avec Stupéfix au terrain de Quidditch."/>
    <x v="2"/>
    <s v="Harry avec Incendio à Poudlard, Hermione avec Endoloris au Chaudron Baveur, Ron avec Stupéfix au terrain de Quidditch.|Harry avec Stupéfix au terrain de Quidditch, Hermione avec Incendio à Poudlard, Ron avec Endoloris au Chaudron Baveur.|Harry avec Endoloris au terrain de Quidditch, Hermione avec Incendio au Chaudron Baveur, Ron avec Stupéfix à Poudlard."/>
    <m/>
  </r>
  <r>
    <n v="274"/>
    <s v="Salla a 3 ans de plus que Valentine qui a elle-même 3 ans de moins que Joe et 3 ans de plus que Ambre. Ambre a 4 ans de moins que Huguette. Quelles sont les 2 personnes qui ont 1 an d’écart ?"/>
    <s v="Logique"/>
    <s v="Ce sont Salla et Huguette."/>
    <x v="2"/>
    <s v="Salla et Huguette|Ambre et Salla|Joe et Valentine"/>
    <m/>
  </r>
  <r>
    <n v="275"/>
    <s v="Voici le patron d’un solide, combien a-t-il d’arêtes ?"/>
    <s v="Logique"/>
    <s v="Il y a 15 arêtes."/>
    <x v="0"/>
    <s v="15|15 arêtes|15 aretes"/>
    <s v="oui"/>
  </r>
  <r>
    <n v="276"/>
    <s v="Combien d’heures font dix trois quarts d’heure ?"/>
    <s v="Logique"/>
    <s v="10 x ¾ = 7,5 h"/>
    <x v="0"/>
    <s v="7,5|7,5h"/>
    <m/>
  </r>
  <r>
    <n v="277"/>
    <s v="Sachant que A ∈ [LM] et que OMA= 30°. Quelle est la mesure de l’angle LOA ?"/>
    <s v="Logique"/>
    <s v="OMA=OLM= 30° et MOA=OAM= (180-30)/2 = 75° OAL=180−75=105° LOA= 180 – 105 – 30= 45°"/>
    <x v="0"/>
    <s v="45|45°"/>
    <s v="oui"/>
  </r>
  <r>
    <n v="278"/>
    <s v="2134' 2 chiffres corrects mais pas à la bonne place '9826' 1 chiffre correct et à la bonne place '7059' 2 chiffres sont corrects, 1 à la bonne place.' 6427' Aucun chiffre n’est correct '5813' 2 chiffres corrects et à la bonne place. Quel ce nombre mystérieux ?"/>
    <s v="Logique"/>
    <n v="9013"/>
    <x v="0"/>
    <n v="9013"/>
    <m/>
  </r>
  <r>
    <n v="279"/>
    <s v="Trouve le nombre qui complète cette suite logique. 1 3 ; 1 ; 5 3 ; ?"/>
    <s v="Logique"/>
    <s v="7/3"/>
    <x v="0"/>
    <s v="7/3"/>
    <m/>
  </r>
  <r>
    <n v="280"/>
    <s v="Dans ce cadre carré se trouve des carrés gris. Quel est le pourcentage de noir dans ce cadre ?"/>
    <s v="Logique"/>
    <n v="0.32"/>
    <x v="0"/>
    <s v="32|32%"/>
    <s v="oui"/>
  </r>
  <r>
    <n v="281"/>
    <s v="image"/>
    <s v="Calculs"/>
    <n v="41"/>
    <x v="0"/>
    <n v="41"/>
    <s v="oui"/>
  </r>
  <r>
    <n v="282"/>
    <s v="Les 24 stylos de Ambre sont de 3 sortes : les feutres, les surligneurs et les pastels. Trois quarts ne sont pas des feutres et deux tiers ne sont pas des pastels. Combien Ambre a -t-elle de surligneurs ?"/>
    <s v="Calculs"/>
    <s v="10 surligneurs"/>
    <x v="0"/>
    <s v="10|10 surligneurs"/>
    <m/>
  </r>
  <r>
    <n v="283"/>
    <s v="Donne l’écriture décimale de 2×10²+10¹+10^-1+2×10^-3"/>
    <s v="Calculs"/>
    <n v="210.102"/>
    <x v="0"/>
    <n v="210.102"/>
    <m/>
  </r>
  <r>
    <n v="284"/>
    <s v="(1−1/4)(1−2/4)(1−3/4)(1−4/4)(1+1/4)(1+2/4)(1+3/4)(1+4/4)"/>
    <s v="Calculs"/>
    <n v="0"/>
    <x v="0"/>
    <n v="0"/>
    <m/>
  </r>
  <r>
    <n v="285"/>
    <s v="Calculer 4x²+7 pour x = -1"/>
    <s v="Calculs"/>
    <s v="4×(−1)²+7=22"/>
    <x v="0"/>
    <n v="22"/>
    <m/>
  </r>
  <r>
    <n v="286"/>
    <s v="Calculer −5 &quot;−2 pour x = -2"/>
    <s v="Calculs"/>
    <s v="−5 ×(−2)−2=8"/>
    <x v="0"/>
    <n v="8"/>
    <m/>
  </r>
  <r>
    <n v="287"/>
    <s v="9 + 4,5 × (−2)"/>
    <s v="Calculs"/>
    <n v="0"/>
    <x v="0"/>
    <n v="0"/>
    <m/>
  </r>
  <r>
    <n v="288"/>
    <s v="(−5)²+6×(−4)"/>
    <s v="Calculs"/>
    <s v="25 – 24 = 1"/>
    <x v="0"/>
    <n v="1"/>
    <m/>
  </r>
  <r>
    <n v="289"/>
    <s v="Qu’est-ce que l’effectif d’une valeur dans une série statistique ?"/>
    <s v="Stats ou probas"/>
    <s v="C’est le nombre de fois où la valeur apparaît dans la série."/>
    <x v="2"/>
    <s v="C’est le nombre de fois où la valeur apparaît dans la série.|C’est la différence entre les valeurs maximum et minimum.|C’est la somme des valeurs dans la série."/>
    <m/>
  </r>
  <r>
    <n v="290"/>
    <s v="Comment calcule-t-on la fréquence d’une valeur dans une série statistique ?"/>
    <s v="Stats ou probas"/>
    <s v="On divise l’effectif de la valeur par l’effectif total."/>
    <x v="2"/>
    <s v="On divise l’effectif de la valeur par l’effectif total.|On soustrait l’effectif de la valeur à l’effectif total.|On multiplie l’effectif de la valeur par l’effectif total."/>
    <m/>
  </r>
  <r>
    <n v="291"/>
    <s v="Comment calcule-t-on la moyenne d’une série statistique ?"/>
    <s v="Stats ou probas"/>
    <s v="On additionne toutes les valeurs (y compris si la même valeur apparaît plusieurs fois) et on divise cette somme par l’effectif total."/>
    <x v="2"/>
    <s v="On additionne toutes les valeurs (y compris si la même valeur apparaît plusieurs fois) et on divise par l’effectif total.|On additionne toutes les valeurs et on divise par le nombre de valeurs distinctes.|On prend la valeur centrale de la série."/>
    <m/>
  </r>
  <r>
    <n v="292"/>
    <s v="Voici la série de notes sur 15 d’un élève : 15 ; 12 ; 3 ; 14 ; 5 ; 11 ; 10. Quelle est la moyenne de ses notes ? Que signifie cette moyenne ?"/>
    <s v="Stats ou probas"/>
    <s v="La moyenne est 10/15. S’il avait obtenu la même note à chaque fois, il aurait eu 10/15."/>
    <x v="0"/>
    <s v="10/15|10"/>
    <m/>
  </r>
  <r>
    <n v="293"/>
    <s v="Comment détermine-t-on la médiane d’une série statistique ?"/>
    <s v="Stats ou probas"/>
    <s v="On classe les valeurs dans l’ordre croissant. Si l’effectif est impair, on prend la valeur centrale. Si l’effectif est pair, on fait la moyenne des 2 valeurs centrales."/>
    <x v="2"/>
    <s v="On classe les valeurs dans l’ordre croissant, puis on prend la valeur centrale si l’effectif est impair, ou la moyenne des deux valeurs centrales si l’effectif est pair.|On classe les valeurs dans l’ordre décroissant, puis on prend la valeur centrale si l’effectif est pair, ou la moyenne des deux valeurs centrales si l’effectif est impair.|On classe les valeurs dans l’ordre croissant, puis on prend la première valeur si l’effectif est impair et la dernière valeur si l’effectif est pair."/>
    <m/>
  </r>
  <r>
    <n v="294"/>
    <s v="Voici la série de notes sur 15 d’un élève : 15 ; 12 ; 3 ; 14 ; 5 ; 11 ; 10. Quelle est la médiane de ses notes ?"/>
    <s v="Stats ou probas"/>
    <s v="On classe dans l’ordre croissant : 3 ; 5 ; 10 ; 11 ; 12 ; 14 ; 15 La médiane est 11/15 Il a autant de notes qui sont inférieures ou égales à 11/15 que de notes qui sont supérieures ou égales à 11/15"/>
    <x v="0"/>
    <s v="11|11/15"/>
    <m/>
  </r>
  <r>
    <n v="295"/>
    <s v="Voici la répartition des âges des membres d’un club de voile juniors. Quel est l’âge médian des membres ?"/>
    <s v="Stats ou probas"/>
    <s v="On classe dans l’ordre croissant les âges en tenant compte de l’effectif de chaque âge. L’effectif total est 50, on prend la 25è valeur et la 26 è valeur soit 14 ans et 16 ans. La moyenne de ces 2 âges est donc 15 ans. La médiane est donc 15 ans. Interprétation : Il y autant de membres de 15 ans ou moins que de membres de 15 ans ou plus."/>
    <x v="0"/>
    <s v="15|15 ans"/>
    <s v="oui"/>
  </r>
  <r>
    <n v="296"/>
    <s v="Voici la répartition des âges des membres d’un club de voile juniors. Quel est l’âge moyen des membres ?"/>
    <s v="Stats ou probas"/>
    <s v="13×6+15×5+16×10+18×14+19×15 / 50 =850  / 50 =17 L’âge moyen est 17 ans."/>
    <x v="0"/>
    <s v="17|17 ans"/>
    <s v="oui"/>
  </r>
  <r>
    <n v="297"/>
    <s v="Qu’est-ce que l’étendue d’une série ?"/>
    <s v="Stats ou probas"/>
    <s v="C’est la différence entre la valeur maximale et la valeur minimale de la série."/>
    <x v="2"/>
    <s v="C’est la différence entre la valeur maximale et la valeur minimale de la série.|C’est la somme de la valeur maximale et de la valeur minimale de la série.|C’est le rapport entre la valeur maximale et la valeur minimale de la série."/>
    <m/>
  </r>
  <r>
    <n v="298"/>
    <s v="Voici des températures relevées en degrés Celsius: 13°C ; 21°C ; 19°C ; 18°C ; 27°C et 15°C Quelle est l’étendue de cette série ?"/>
    <s v="Stats ou probas"/>
    <s v="27 – 13 = 14 L’étendue est 14 °C"/>
    <x v="0"/>
    <s v="14|14°C"/>
    <m/>
  </r>
  <r>
    <n v="299"/>
    <s v="Voici des températures relevées en degrés Celsius: 13°C ; 21°C ; 19°C ; 18°C ; 27°C et 15°C Quelle est la température médiane de ces relevés ?"/>
    <s v="Stats ou probas"/>
    <s v="On classe dans l’ordre croissant : 13 ; 15 ; 18 ; 19 ; 21 ; 27 (18+19) /2 = 18,5 La médiane est 18,5°C"/>
    <x v="0"/>
    <s v="18,5°C|18,5"/>
    <m/>
  </r>
  <r>
    <n v="300"/>
    <s v="Voici des températures relevées en degrés Celsius: 13°C ; 21°C ; 19°C ; 18°C ; 28°C et 15°C Quelle est la température moyenne de ces relevés ?"/>
    <s v="Stats ou probas"/>
    <s v="13+15+18+19+21+28 / 6 =114 / 6 =19 La température moyenne est 19°C."/>
    <x v="0"/>
    <s v="19|19°C"/>
    <m/>
  </r>
  <r>
    <n v="301"/>
    <s v="Toutes les notes d’Eléonore sont comprises entre 8 et 12, sa moyenne est… a/ 12 b/ 4 c/ 10 d/ Comprise entre 8 et 12"/>
    <s v="Stats ou probas"/>
    <s v="Réponse d/ comprise entre 8 et 12"/>
    <x v="2"/>
    <s v="d|a|b|c"/>
    <m/>
  </r>
  <r>
    <n v="302"/>
    <s v="Vrai ou faux ? « Si on ajoute 5 à chaque valeur d’une série, alors son étendue augmente de 5 »."/>
    <s v="Stats ou probas"/>
    <s v="Faux, l’étendue reste identique"/>
    <x v="4"/>
    <s v="F"/>
    <m/>
  </r>
  <r>
    <n v="303"/>
    <s v="Vrai ou faux ? « Si on ajoute 5 à chaque valeur d’une série, alors sa moyenne augmente de 5 »."/>
    <s v="Stats ou probas"/>
    <b v="1"/>
    <x v="4"/>
    <s v="V"/>
    <m/>
  </r>
  <r>
    <n v="304"/>
    <s v="Vrai ou faux ? « Si on ajoute 5 à chaque valeur d’une série, alors sa médiane augmente de 5 »."/>
    <s v="Stats ou probas"/>
    <b v="1"/>
    <x v="4"/>
    <s v="V"/>
    <m/>
  </r>
  <r>
    <n v="305"/>
    <s v="Maël a reçu 4 notes en anglais lors de ce trimestre : 11/20 (coefficient 2); 14/20 (coefficient 1); 12/20 (coefficient 2) et 17/20 (coefficient 3) Quelle est sa moyenne trimestrielle en anglais ?"/>
    <s v="Stats ou probas"/>
    <s v="Sa moyenne est 13,875 Le total des coefficients donne : 2+1+2+3 = 8 (C’est comme si Maël avait reçu 8 notes) 11 x 2 + 14 x 1 + 12 x 2 + 17 x 3 = 111 Il a eu en tout 111 points. La moyenne est donc 111/8 = 13,875."/>
    <x v="0"/>
    <s v="13,875|13,875/20"/>
    <m/>
  </r>
  <r>
    <n v="306"/>
    <s v="Trouver la valeur manquante dans cette série pour que la médiane soit 10 : 15 ; ? ; 8 ; 11 ; 20 ; 6"/>
    <s v="Stats ou probas"/>
    <s v="La valeur manquante est 9. Classons dans l’ordre croissant : 6 ; 8 ; 11 ; 15 ; 20 pour l’instant la médiane est 11 plaçons 9 et la médiane devient 10."/>
    <x v="0"/>
    <n v="9"/>
    <m/>
  </r>
  <r>
    <n v="307"/>
    <s v="Pour un spectacle de gym, l’entrée est payante suivant 3 catégories d’âge les moins de 10 ans, les 11 à 18 ans et les adultes. Quel est le prix moyen d’une entrée ?"/>
    <s v="Stats ou probas"/>
    <s v="2×60+4×40+5×10 / 110 =330 / 110=3 Le prix moyen d’une entrée est 3 €"/>
    <x v="0"/>
    <s v="3|3 €"/>
    <s v="oui"/>
  </r>
  <r>
    <n v="308"/>
    <s v="Pour un spectacle de gym, l’entrée est payante suivant 3 catégories d’âge les moins de 10 ans, les 11 à 18 ans et les adultes. Quel est le prix médian d’une entrée ?"/>
    <s v="Stats ou probas"/>
    <s v="Il y a 110 entrées : 60 à 2 € ; 40 à 4 € et 10 à 5 € On prend la 55è valeur et la 56è valeur soit 2 € Le prix médian est 2 €"/>
    <x v="0"/>
    <s v="2|2€"/>
    <s v="oui"/>
  </r>
  <r>
    <n v="309"/>
    <s v="Pour un spectacle de gym, l’entrée est payante suivant 3 catégories d’âge les moins de 10 ans, les 11 à 18 ans et les adultes. Quelle est l’étendue du tarif des entrées ? "/>
    <s v="Stats ou probas"/>
    <s v="5 – 2 = 3 L’étendue des tarifs est 3 €"/>
    <x v="0"/>
    <s v="3|3€"/>
    <s v="oui"/>
  </r>
  <r>
    <n v="310"/>
    <s v="Dans ce tableur d’effectifs, quelle formule faut il saisir pour obtenir l’effectif total dans D1 ?"/>
    <s v="Stats ou probas"/>
    <s v="= SOMME (A1 :C1) ou =A1 + B1 + C1"/>
    <x v="2"/>
    <s v="D1= SOMME (A1 : C1) ou = A1 + B1 + C1|D1= MOYENNE (A1 : C1) ou = A1 / B1 / C1|D1= MOYENNE (A1 : C1) ou = A1 + B1 + C1"/>
    <s v="oui"/>
  </r>
  <r>
    <n v="311"/>
    <s v="Trouver la valeur manquante dans cette série pour que l’étendue soit 10 : 15 ; ? ; 8 ; 11 ; 20 ; 6"/>
    <s v="Stats ou probas"/>
    <s v="6 + 10 = 16 C’est 16"/>
    <x v="0"/>
    <n v="16"/>
    <m/>
  </r>
  <r>
    <n v="312"/>
    <s v="Trouver la valeur manquante dans cette série pour que la moyenne soit 13 : 15 ; ? ; 8 ; 11 ; 20 ; 6"/>
    <s v="Stats ou probas"/>
    <s v="60 + ? = 13 x 6 = 7 ! ? = 18 La note manquante est 18"/>
    <x v="0"/>
    <n v="18"/>
    <m/>
  </r>
  <r>
    <n v="313"/>
    <s v="Dans une entreprise les salaires ont augmenté de 5%. Soit ! le salaire d’une personne avant l’augmentation. Exprimer le nouveau salaire N en fonction de !. Est-ce une situation de proportionnalité ? (Si oui, donner son coefficient de proportionnalité)"/>
    <s v="Proportionnalité"/>
    <s v="N(x) = 1,05 x C’est une situation de proportionnalité, son coefficient est 1,05"/>
    <x v="6"/>
    <s v="V|1,05"/>
    <m/>
  </r>
  <r>
    <n v="314"/>
    <s v="Pendant les soldes, un magasin vend tous ses articles avec 40 % de remise. Soit ! le prix d’un article avant la réduction. Exprimer le nouveau tarif T en fonction de !. Est-ce une situation de proportionnalité ? (Si oui, donner son coefficient de proportionnalité)"/>
    <s v="Proportionnalité"/>
    <s v="T(x) = 0,6 x C’est une situation de proportionnalité, son coefficient est 0,4"/>
    <x v="6"/>
    <s v="V|0,4"/>
    <m/>
  </r>
  <r>
    <n v="315"/>
    <s v="Un magasin propose une réduction sur chacun de ses articles de 10 €. Soit ! le prix d’un article avant la réduction. Exprimer le nouveau tarif T en fonction de !. Est-ce une situation de proportionnalité ? (Si oui, donner son coefficient de proportionnalité)"/>
    <s v="Proportionnalité"/>
    <s v="T(x) = x - 10 Ce n’est pas une situation de proportionnalité"/>
    <x v="6"/>
    <s v="F"/>
    <m/>
  </r>
  <r>
    <n v="316"/>
    <s v="Des parents décident d’augmenter de 2 € chaque mois l’argent de poche de leur enfant. Soit ! le montant de l’argent de poche du mois en cours. Exprimer le montant M de l’argent de poche du mois suivant en fonction de !. Est-ce une situation de proportionnalité ? (Si oui, donner son coefficient de proportionnalité)"/>
    <s v="Proportionnalité"/>
    <s v="M(x) = x +2 Ce n’est pas une situation de proportionnalité"/>
    <x v="6"/>
    <s v="F"/>
    <m/>
  </r>
  <r>
    <n v="317"/>
    <s v="La température en degré Fahrenheit (°F) est obtenue en multipliant par 1,8 la température exprimée en degré Celsius (°C) puis en ajoutant 32. Soit ! la température exprimée en degré Celsius. Exprimer la température T en degré Fahrenheit en fonction de !. Est-ce une situation de proportionnalité ? (Si oui, donner son coefficient de proportionnalité)"/>
    <s v="Proportionnalité"/>
    <s v="T(x) = 1,8 x + 32 Ce n’est pas une situation de proportionnalité"/>
    <x v="6"/>
    <s v="F"/>
    <m/>
  </r>
  <r>
    <n v="318"/>
    <s v="Un cinéma propose une carte annuelle avec une cotisation de 7 € puis 4 € par séance. Soit ! le nombre de places de cinéma achetées pendant l’année. Exprimer la dépense annuelle D en fonction de !. Est-ce une situation de proportionnalité ? (Si oui, donner son coefficient de proportionnalité)"/>
    <s v="Proportionnalité"/>
    <s v="D(x) = 4 x + 7 Ce n’est pas une situation de proportionnalité"/>
    <x v="6"/>
    <s v="F"/>
    <m/>
  </r>
  <r>
    <n v="319"/>
    <s v="Le fer à repasser de Joé a une puissance de 2 300 Watts. Exprimer l’énergie E consommée en Wh en fonction du temps de son utilisation ! en heures. Est-ce une situation de proportionnalité ? (Si oui, donner son coefficient de proportionnalité)"/>
    <s v="Proportionnalité"/>
    <s v="D(x) = 2 300 x C’est une situation de proportionnalité, son coefficient est 2 300"/>
    <x v="6"/>
    <s v="V|2300"/>
    <m/>
  </r>
  <r>
    <n v="320"/>
    <s v="Une toile rectangulaire d’un peintre a été agrandie par 5. Exprimer l’aire A de la toile agrandie en fonction de l’aire de la toile initiale !. Est-ce une situation de proportionnalité ? (Si oui, donner son coefficient de proportionnalité)"/>
    <s v="Proportionnalité"/>
    <s v="D(x) = 25 x C’est une situation de proportionnalité, son coefficient est 25"/>
    <x v="6"/>
    <s v="V|25"/>
    <m/>
  </r>
  <r>
    <n v="321"/>
    <s v="Parmi les nombres suivants, lesquels ne peuvent pas représenter une probabilité ? 0,8 ; 15/4 ; 13 ; - 0,5 ; 75/100 ; 1,2"/>
    <s v="Stats ou probas"/>
    <s v="Une probabilité est comprise entre 0 et 1 Donc 15/4 ; 13 ; -0,5 ; 1,2 ne sont pas des probabilités."/>
    <x v="7"/>
    <s v="15/4|13|-0,5|1,2"/>
    <m/>
  </r>
  <r>
    <n v="322"/>
    <s v="Un dé numéroté de 1 à 6 est lancé. Quelles sont les issues possibles ?"/>
    <s v="Stats ou probas"/>
    <s v="1 ; 2 ; 3 ; 4. 5 ; et 6"/>
    <x v="7"/>
    <s v="1[2|3|4|5|6"/>
    <m/>
  </r>
  <r>
    <n v="323"/>
    <s v="Qu’est-ce qu’une situation d’équiprobabilité ?"/>
    <s v="Stats ou probas"/>
    <s v="Lorsque toutes les issues ont la même probabilité"/>
    <x v="2"/>
    <s v="Lorsque toutes les issues ont la même probabilité.|Lorsque toutes les issues ont des probabilités égales ou supérieures à 1.|Lorsque les probabilités des issues sont inverses les unes des autres."/>
    <m/>
  </r>
  <r>
    <n v="324"/>
    <s v="Qu’est-ce qu’un évènement certain ?"/>
    <s v="Stats ou probas"/>
    <s v="C’est un évènement qui est sûr de se réaliser. Sa probabilité est 1."/>
    <x v="2"/>
    <s v="C’est un évènement qui est sûr de se réaliser. Sa probabilité est 1.|C’est un évènement qui est sûr de se réaliser, sa probabilité est de 0.|C’est un évènement qui a plus de chances de se réaliser que les autres."/>
    <m/>
  </r>
  <r>
    <n v="325"/>
    <s v="Qu’est-ce qu’un évènement impossible ?"/>
    <s v="Stats ou probas"/>
    <s v="C’est un évènement qui est sûr de ne pas se réaliser. Sa probabilité est 0."/>
    <x v="2"/>
    <s v="’est un évènement qui est sûr de ne pas se réaliser. Sa probabilité est 0.|C’est un évènement qui a très peu de chances de se réaliser.|C’est un évènement qui a une probabilité inférieure à 0."/>
    <m/>
  </r>
  <r>
    <n v="326"/>
    <s v="Lors d’un lancer de dé numéroté de 1 à 6 Soit A l’évènement « obtenir un nombre pair ». Quel est son évènement contraire ?"/>
    <s v="Stats ou probas"/>
    <s v="« Obtenir un nombre impair »"/>
    <x v="2"/>
    <s v="« Obtenir un nombre impair ».|« Obtenir un nombre pair et un impair ».|« obtenir un nombre pair »"/>
    <m/>
  </r>
  <r>
    <n v="327"/>
    <s v="Lors d’un lancer de dé numéroté de 1 à 6 Soit A l’évènement « obtenir un nombre pair ». Soit B l’évènement « obtenir 3 ». Que peut-on dire de ces 2 évènements ?"/>
    <s v="Stats ou probas"/>
    <s v="Ils sont incompatibles."/>
    <x v="2"/>
    <s v="Ils sont incompatibles.|Ils sont compatibles.|Ils sont possibles mais indépendants."/>
    <m/>
  </r>
  <r>
    <n v="328"/>
    <s v="Si la probabilité d’un évènement est 0,6. Quelle est la probabilité de son évènement contraire ?"/>
    <s v="Stats ou probas"/>
    <s v="1-0,6 = 0,4 C’est 0,4"/>
    <x v="0"/>
    <n v="0.4"/>
    <m/>
  </r>
  <r>
    <n v="329"/>
    <s v="On place dans un sac opaque, 3 boules bleues numérotées de 1 à 3 et 5 boules vertes numérotées de 1 à 5 indiscernables au toucher. Quelle est la probabilité d’obtenir un numéro pair ?"/>
    <s v="Stats ou probas"/>
    <s v="Obtenir 2 en bleu ou 2 ou 4 en vert. Donc la probabilité est 3 / 8"/>
    <x v="0"/>
    <n v="45507"/>
    <m/>
  </r>
  <r>
    <n v="330"/>
    <s v="On place dans un sac opaque, 3 boules bleues numérotées de 1 à 3 et 5 boules vertes numérotées de 1 à 5 indiscernables au toucher. Quelle est la probabilité d’obtenir un numéro impair ?"/>
    <s v="Stats ou probas"/>
    <s v="Obtenir 1 ou 3 en bleu et 1 ou 3 ou 5 en vert. Donc la probabilité est 5 / 8"/>
    <x v="0"/>
    <n v="45509"/>
    <m/>
  </r>
  <r>
    <n v="331"/>
    <s v="On place dans un sac opaque, 3 boules bleues numérotées de 1 à 3 et 5 boules vertes numérotées de 1 à 5 indiscernables au toucher. Quelle est la probabilité d’obtenir une boule verte ?"/>
    <s v="Stats ou probas"/>
    <s v="La probabilité est 5 / 8"/>
    <x v="0"/>
    <n v="45509"/>
    <m/>
  </r>
  <r>
    <n v="332"/>
    <s v="On place dans un sac opaque, 3 boules bleues numérotées de 1 à 3 et 5 boules vertes numérotées de 1 à 5 indiscernables au toucher. Quelle est la probabilité d’obtenir le numéro 4 ?"/>
    <s v="Stats ou probas"/>
    <s v="Il n’y a qu’une seule boule numéro 4 La probabilité est 1 / 8"/>
    <x v="0"/>
    <n v="45383"/>
    <m/>
  </r>
  <r>
    <n v="333"/>
    <s v="On place dans un sac opaque, 2 boules bleues numérotées de 1 à 2 et 3 boules vertes numérotées de 1 à 3 indiscernables au toucher. On tire une boule, on regarde la couleur puis sans la remettre dans le sac, on tire une seconde boule et on regarde la couleur Quelle est la probabilité d’avoir 2 couleurs différentes ?"/>
    <s v="Stats ou probas"/>
    <s v="La probabilité est 12 / 20 ou 3/5"/>
    <x v="0"/>
    <s v="12/20|3 /5"/>
    <m/>
  </r>
  <r>
    <n v="334"/>
    <s v="On écrit sur des jetons différents mais indiscernables au toucher les lettres suivantes : P, Y, T, H, A, G, O, R, E Quelle est la probabilité d’obtenir une voyelle ?"/>
    <s v="Stats ou probas"/>
    <s v="Les voyelles sont : Y, A, O, E La probabilité est 4 / 9"/>
    <x v="0"/>
    <n v="45539"/>
    <m/>
  </r>
  <r>
    <n v="335"/>
    <s v="On écrit sur des jetons différents mais indiscernables au toucher les lettres suivantes : M, A, T, H, E M, A, T, I, Q, U, E, S Quelle est la probabilité d’obtenir une consonne ?"/>
    <s v="Stats ou probas"/>
    <s v="La probabilité est 7 / 13"/>
    <x v="0"/>
    <n v="41456"/>
    <m/>
  </r>
  <r>
    <n v="336"/>
    <s v="Nous possédons un cadenas permettant de choisir un code à 3 chiffres. Quelle est la probabilité d’obtenir un code à 3 chiffres identiques ?"/>
    <s v="Stats ou probas"/>
    <s v="La probabilité est 10 / 1 000 soit 1/100"/>
    <x v="0"/>
    <s v="10/1000|1/100"/>
    <m/>
  </r>
  <r>
    <n v="337"/>
    <s v="Encadrer par deux entiers consécutifs √19"/>
    <s v="Nombres"/>
    <s v="4&lt;√19&lt;5"/>
    <x v="2"/>
    <s v="4 &lt; √19 &lt; 5|3 &lt; √19 &lt; 4|5 &lt; √19 &lt; 6"/>
    <m/>
  </r>
  <r>
    <n v="338"/>
    <s v="Donner une valeur approchée par défaut de √32 au dixième près."/>
    <s v="Nombres"/>
    <n v="5.6"/>
    <x v="0"/>
    <n v="5.6"/>
    <m/>
  </r>
  <r>
    <n v="339"/>
    <s v="Donner une valeur arrondie au millième près de 4/7"/>
    <s v="Nombres"/>
    <n v="0.57099999999999995"/>
    <x v="0"/>
    <n v="0.57099999999999995"/>
    <m/>
  </r>
  <r>
    <n v="340"/>
    <s v="Donner une valeur approchée par excès au centième près de 13/14"/>
    <s v="Nombres"/>
    <n v="0.93"/>
    <x v="0"/>
    <n v="0.93"/>
    <m/>
  </r>
  <r>
    <n v="341"/>
    <s v="Comment détecte-t-on un nombre divisible par 2 ? (Citer son critère de divisibilité)"/>
    <s v="Nombres"/>
    <s v="Le nombre doit se terminer par 0 ; 2 ; 4 ; 6 ou 8"/>
    <x v="2"/>
    <s v="Le nombre doit se terminer par 0, 2, 4, 6 ou 8.|Le nombre doit avoir une somme de chiffres paire.|Le nombre doit être pair, donc se terminer par 1, 3, 5, 7 ou 9."/>
    <m/>
  </r>
  <r>
    <n v="342"/>
    <s v="Comment détecte-t-on un nombre divisible par 3 ? (Citer son critère de divisibilité)"/>
    <s v="Nombres"/>
    <s v="On fait la somme des chiffres du nombre et cette somme doit être dans la table de 3."/>
    <x v="2"/>
    <s v="On fait la somme des chiffres du nombre et cette somme doit être dans la table de 3.|On additionne les chiffres du nombre, et cette somme doit être un nombre pair.|On additionne les chiffres du nombre, et cette somme doit être un nombre impair."/>
    <m/>
  </r>
  <r>
    <n v="343"/>
    <s v="Comment détecte-t-on un nombre divisible par 9 ? (Citer son critère de divisibilité)"/>
    <s v="Nombres"/>
    <s v="On fait la somme des chiffres du nombre et cette somme doit être dans la table de 9."/>
    <x v="2"/>
    <s v="On fait la somme des chiffres du nombre et cette somme doit être dans la table de 9.|Le nombre doit être divisible par 3 mais impair.|Le nombre doit être divisible par 9 mais impair."/>
    <m/>
  </r>
  <r>
    <n v="344"/>
    <s v="Comment détecte-t-on un nombre divisible par 4 ? (Citer son critère de divisibilité)"/>
    <s v="Nombres"/>
    <s v="Les 2 derniers chiffres du nombre forment un nombre dans la table de 4."/>
    <x v="2"/>
    <s v="Les deux derniers chiffres du nombre forment un nombre dans la table de 4.|Le nombre doit être pair et la somme de ses chiffres doit être paire.|Les deux derniers chiffres du nombre forment un nombre dans la table de 4."/>
    <m/>
  </r>
  <r>
    <n v="345"/>
    <s v="Qu'est-ce qu'un nombre premier ?"/>
    <s v="Nombres"/>
    <s v="C’’est un nombre qui possède 2 diviseurs différents uniquement : 1 et lui-même."/>
    <x v="2"/>
    <s v="C’est un nombre qui possède 2 diviseurs différents uniquement : 1 et lui-même.|C’est un nombre qui a un seul diviseur : lui-même.|C’est un nombre pair divisible par 1 et par lui-même."/>
    <m/>
  </r>
  <r>
    <n v="346"/>
    <s v="Un nombre entier est-il un nombre décimal ?"/>
    <s v="Nombres"/>
    <s v="Oui sa partie décimale est nulle."/>
    <x v="2"/>
    <s v="Oui, sa partie décimale est nulle.|Oui, mais seulement si on l'écrit sous forme de fraction décimale.|Non, les nombres entiers ne sont jamais des nombres décimaux."/>
    <m/>
  </r>
  <r>
    <n v="347"/>
    <s v="Donner la composition en produits de facteurs premiers de 990"/>
    <s v="Nombres"/>
    <s v="2 x 3 x 3 x 5"/>
    <x v="2"/>
    <s v="2×3×3×5×11|2×3×3×5×7|2×3×5×11"/>
    <m/>
  </r>
  <r>
    <n v="348"/>
    <s v="1 est-il un nombre premier ?"/>
    <s v="Nombres"/>
    <s v="Non il n’a qu’un seul diviseur"/>
    <x v="4"/>
    <s v="F"/>
    <m/>
  </r>
  <r>
    <n v="349"/>
    <s v="Vrai ou faux ? Tous les nombres pairs sont des nombres qui ne sont pas premiers."/>
    <s v="Nombres"/>
    <s v="Faux 2 est pair et un nombre premier. C’est le seul."/>
    <x v="4"/>
    <s v="F"/>
    <m/>
  </r>
  <r>
    <n v="350"/>
    <s v="Donner la décomposition en produits de facteurs premiers de 147"/>
    <s v="Nombres"/>
    <s v="3 x 7 x 7"/>
    <x v="2"/>
    <s v="3×7×7|2×3×7|3×5×7"/>
    <m/>
  </r>
  <r>
    <n v="351"/>
    <s v="Donner 3 multiples d e21 compris entre 25 et 100"/>
    <s v="Nombres"/>
    <s v="42 ; 63 ; 84"/>
    <x v="2"/>
    <s v="42;63;84|21;42;84|42;53;74"/>
    <m/>
  </r>
  <r>
    <n v="352"/>
    <s v="Donner tous les diviseurs de 42"/>
    <s v="Nombres"/>
    <s v="1 ; 2 ; 3 ; 6 ; 7 ; 14 ; 21 ; 42"/>
    <x v="7"/>
    <s v="1|2|3|6|7|14|21|42"/>
    <m/>
  </r>
  <r>
    <n v="353"/>
    <s v="Quel est le plus grand diviseur commun entre 210 et 330 ?"/>
    <s v="Nombres"/>
    <s v="210 = 2 x 3 x 5 x 7   330 = 2 x 3 x 5 x 11 Le plus grand diviseur commun est 2 x 3 x 5 soit 30"/>
    <x v="0"/>
    <n v="30"/>
    <m/>
  </r>
  <r>
    <n v="354"/>
    <s v="Comment savoir si un nombre est divisible par 17 ?"/>
    <s v="Nombres"/>
    <s v="Il faut effectuer la division euclidienne de ce nombre par 17 et si le reste est nul alors le nombre est divisible par 17."/>
    <x v="2"/>
    <s v="Il faut effectuer la division euclidienne de ce nombre par 17 et si le reste est nul, alors le nombre est divisible par 17.|Il faut vérifier si la somme des chiffres est un multiple de 17.|Il faut soustraire 17 du nombre et si le résultat est un multiple de 10, alors le nombre est divisible par 17."/>
    <m/>
  </r>
  <r>
    <n v="355"/>
    <s v="Vrai ou faux ? Si on divise le numérateur et le dénominateur d’une fraction par un diviseur commun, alors on obtient une fraction irréductible."/>
    <s v="Nombres"/>
    <s v="Faux Il faut que le diviseur commun soit le plus grand. Contre-exemple : 42 / 30 est simplifiable par 2 mais ça ne rend pas cette fraction irréductible."/>
    <x v="4"/>
    <s v="F"/>
    <m/>
  </r>
  <r>
    <n v="356"/>
    <s v="73 est-il un nombre premier ?"/>
    <s v="Nombres"/>
    <s v="Oui car il n’y a que 2 diviseurs de 1 et 73."/>
    <x v="4"/>
    <s v="V"/>
    <m/>
  </r>
  <r>
    <n v="357"/>
    <s v="289 est-il un nombre premier ? "/>
    <s v="Nombres"/>
    <s v="Non 289 = 17 x 17 289 a 3 diviseurs : 1 ; 17 et 289"/>
    <x v="4"/>
    <s v="F"/>
    <m/>
  </r>
  <r>
    <n v="358"/>
    <s v="Est-ce que 3 245 719 est divisible par 3 ?"/>
    <s v="Nombres"/>
    <s v="3 + 2 + 4 + 5 + 7 + 1 + 9 =31 31 n’est pas dans la table de 3 3 245 719 n’est pas divisible par 3"/>
    <x v="4"/>
    <s v="F"/>
    <m/>
  </r>
  <r>
    <n v="359"/>
    <s v="Est-ce que 3 245 719 est divisible par 4 ?"/>
    <s v="Nombres"/>
    <s v="19 n’est pas dans la table de 4 3 245 719 n’est pas divisible par 4"/>
    <x v="4"/>
    <s v="F"/>
    <m/>
  </r>
  <r>
    <n v="360"/>
    <s v="Est-ce que 3 245 719 est divisible par 9 ?"/>
    <s v="Nombres"/>
    <s v="3 + 2 + 4 + 5 + 7 + 1 + 9 =31 31 n’est pas dans la table de 9 3 245 719 n’est pas divisible par 9"/>
    <x v="4"/>
    <s v="F"/>
    <m/>
  </r>
  <r>
    <n v="361"/>
    <s v="Une guirlande électrique est constituée de lumières bleues et blanches. Les lumières bleues s'allument toutes les 5 s et les blanches toutes les 3 s. À un instant donné, on voit les lumières bleues et blanches allumées en même temps. 1/ Au bout de combien de temps ce phénomène se reproduira-t-il la prochaine fois ? 2/ Les lumières bleues et blanches se seront allumées combien de fois ?"/>
    <s v="Nombres"/>
    <s v="1/ Au bout de 15 s 2/ Au bout de 5 fois pour la lumière blanche et au bout de 3 fois pour la lumière bleue."/>
    <x v="2"/>
    <s v="1/ Au bout de 15 secondes 2/ La lumière blanche s'allume 5 fois et la lumière bleue 3 fois.|1/ Au bout de 10 secondes 2/ La lumière blanche s'allume 4 fois et la lumière bleue 2 fois.|1/ Au bout de 12 secondes 2/ La lumière blanche s'allume 3 fois et la lumière bleue 4 fois."/>
    <m/>
  </r>
  <r>
    <n v="362"/>
    <s v="Un professeur organise une sortie pédagogique à la cité de la voile pour ses élèves de 3eme. Il est accompagné de 168 garçons et de 180 filles. Il souhaite répartir tous les élèves en réalisant un maximum de groupes contenant tous le même nombre de garçons et le même nombre de filles. Comment répartir les élèves ? Combien de groupes y aura-t-il ?"/>
    <s v="Nombres"/>
    <s v="168 = 2 x 2 x 2 x 3 x 7 180 = 2 x 2 x 3 x 3 x 5 Le plus grand diviseur commun de 168 et 180 est 12. Il y aura 12 groupes composés de 15 filles et 14 garçons"/>
    <x v="2"/>
    <s v="12 groupes avec 15 filles et 14 garçons|14 groupes avec 13 filles et 12 garçons|8 groupes avec 18 filles et 21 garçons"/>
    <m/>
  </r>
  <r>
    <n v="363"/>
    <s v="Qu’est-ce que l’opposé d’un nombre ?"/>
    <s v="Nombres"/>
    <s v="La somme d’un nombre et de son opposé est 0. On change le signe du nombre. Par exemple l’opposé du nombre a est -a"/>
    <x v="2"/>
    <s v="L’opposé d’un nombre est le nombre qui, additionné à celui-ci, donne 0. Par exemple, l’opposé de a est −a.|La somme d’un nombre et de son opposé est 1. On change le signe du nombre.|La somme de deux opposés est égale à 2 fois le nombre."/>
    <m/>
  </r>
  <r>
    <n v="364"/>
    <s v="Qu’est-ce que l’inverse d’un nombre ?"/>
    <s v="Nombres"/>
    <s v="Le produit d’un nombre et de son inverse est 1 L’inverse de a est 1/a"/>
    <x v="2"/>
    <s v="L’inverse d’un nombre est celui qui, multiplié par le nombre, donne 1 .L’inverse de a est a/1.|L’inverse d’un nombre est celui qui, additionné au nombre, donne 1.|L’inverse d’un nombre est celui qui, multiplié par le nombre, donne 0."/>
    <m/>
  </r>
  <r>
    <n v="365"/>
    <s v="Un nombre décimal est-il un nombre entier ? "/>
    <s v="Nombres"/>
    <s v="Non, contre-exemple 13,5 est un nombre décimal mais n’est pas un nombre entier."/>
    <x v="4"/>
    <s v="F"/>
    <m/>
  </r>
  <r>
    <n v="366"/>
    <s v="Parmi les réponses suivantes, quelle(s) est ou sont les décompositions en produit de facteurs premiers ? a. 2² x 5³ x 7 b. 5 x 17² x 23 x 31 c. 2³ x 11⁴ x 17 x 39"/>
    <s v="Nombres"/>
    <s v="a et b. Pas c car 39 = 3 x 13"/>
    <x v="2"/>
    <s v="a et b|a et c|b"/>
    <m/>
  </r>
  <r>
    <n v="367"/>
    <s v="Décomposer en produit de facteurs premiers 360"/>
    <s v="Nombres"/>
    <s v="360 = 2³ x 3² x 5"/>
    <x v="2"/>
    <s v="2³×3²×5|2²×3³×5|3²×4×5"/>
    <m/>
  </r>
  <r>
    <n v="368"/>
    <s v="Décomposer en produit de facteurs premiers 2 530"/>
    <s v="Nombres"/>
    <s v="2 530 = 2 x 5 x 11 x 23"/>
    <x v="2"/>
    <s v="2×5×11×23|2×3×11×29|2×5×11×21"/>
    <m/>
  </r>
  <r>
    <n v="369"/>
    <s v="Calculer (4+3)²−12×5"/>
    <s v="Calculs"/>
    <s v="49 – 60 = - 11"/>
    <x v="0"/>
    <n v="-11"/>
    <m/>
  </r>
  <r>
    <n v="370"/>
    <s v="Calculer (−5)²+3×(−4)"/>
    <s v="Calculs"/>
    <s v="(−5)²+3×(−4)=25−12=13"/>
    <x v="0"/>
    <n v="13"/>
    <m/>
  </r>
  <r>
    <n v="371"/>
    <s v="Calculer −7²−11×2"/>
    <s v="Calculs"/>
    <s v="−7²−11×2= −49−22= −50"/>
    <x v="0"/>
    <n v="-50"/>
    <m/>
  </r>
  <r>
    <n v="372"/>
    <s v="Calculer 3³−13×(−3)"/>
    <s v="Calculs"/>
    <s v="3³−13×(−3)=27+39=33"/>
    <x v="0"/>
    <n v="33"/>
    <m/>
  </r>
  <r>
    <n v="373"/>
    <s v="Calculer −4²+12−(13−6)×(5+6)"/>
    <s v="Calculs"/>
    <s v="−16+12−7×11=−4−77= −80"/>
    <x v="0"/>
    <n v="-80"/>
    <m/>
  </r>
  <r>
    <n v="374"/>
    <s v="Calculer 10×3÷5×4"/>
    <s v="Calculs"/>
    <s v="2×3×4=67"/>
    <x v="0"/>
    <n v="67"/>
    <m/>
  </r>
  <r>
    <n v="375"/>
    <s v="Calculer 3⁰+32÷4"/>
    <s v="Calculs"/>
    <s v="3⁰+32÷4=1+8=9"/>
    <x v="0"/>
    <n v="9"/>
    <m/>
  </r>
  <r>
    <n v="376"/>
    <s v="Calculer (7+(10−6))×5÷11×(−4)"/>
    <s v="Calculs"/>
    <s v="11×5÷11×(−4)= −69"/>
    <x v="0"/>
    <n v="-69"/>
    <m/>
  </r>
  <r>
    <n v="377"/>
    <s v="Calculer et simplifier 13/49 ×7/3"/>
    <s v="Calculs"/>
    <s v="13/21"/>
    <x v="0"/>
    <s v="13/21"/>
    <m/>
  </r>
  <r>
    <n v="378"/>
    <s v="Calculer et simplifier 3/35 ×−7/4"/>
    <s v="Calculs"/>
    <s v="(-3/20)"/>
    <x v="0"/>
    <n v="-0.15"/>
    <m/>
  </r>
  <r>
    <n v="379"/>
    <s v="Calculer et simplifier 2 × 5/16"/>
    <s v="Calculs"/>
    <s v="05/08"/>
    <x v="0"/>
    <n v="45509"/>
    <m/>
  </r>
  <r>
    <n v="380"/>
    <s v="Calculer et simplifier 4÷ 10/−16"/>
    <s v="Calculs"/>
    <s v="4× −16/10 =−32/5"/>
    <x v="0"/>
    <n v="-6.4"/>
    <m/>
  </r>
  <r>
    <n v="381"/>
    <s v="Calculer et simplifier 9/5÷18/8"/>
    <s v="Calculs"/>
    <s v="9 / 5÷18 / 8 =9 / 5× 8 / 18= 8 / 10= 4/ 5"/>
    <x v="0"/>
    <s v="4/5"/>
    <m/>
  </r>
  <r>
    <n v="382"/>
    <s v="Calculer 10 × (-8,09)"/>
    <s v="Calculs"/>
    <s v="− 80,9"/>
    <x v="0"/>
    <n v="-80.900000000000006"/>
    <m/>
  </r>
  <r>
    <n v="383"/>
    <s v="Calculer -7,2 × 5"/>
    <s v="Calculs"/>
    <n v="-36"/>
    <x v="0"/>
    <n v="-36"/>
    <m/>
  </r>
  <r>
    <n v="384"/>
    <s v="Calculer 874 × (-0,1)"/>
    <s v="Calculs"/>
    <n v="-87.4"/>
    <x v="0"/>
    <n v="-87.4"/>
    <m/>
  </r>
  <r>
    <n v="385"/>
    <s v="Calculer et simplifier 15/72−5 /8"/>
    <s v="Calculs"/>
    <s v="−46/35"/>
    <x v="0"/>
    <n v="-1.3142857142857143"/>
    <m/>
  </r>
  <r>
    <n v="386"/>
    <s v="Calculer et simplifier 3 /35+−7 /5"/>
    <s v="Calculs"/>
    <s v="−30 /72 = −15 *36= -5/12"/>
    <x v="0"/>
    <n v="-0.41666666666666669"/>
    <m/>
  </r>
  <r>
    <n v="387"/>
    <s v="Calculer et simplifier 2+ 5 /16"/>
    <s v="Calculs"/>
    <s v="32 /16+ 5 /16= 37/16"/>
    <x v="0"/>
    <s v="37/16"/>
    <m/>
  </r>
  <r>
    <n v="388"/>
    <s v="Calculer et simplifier 1− 10 /−16"/>
    <s v="Calculs"/>
    <s v="16 /16+ 10 /16=26 /16=−13/8"/>
    <x v="0"/>
    <s v="13/8"/>
    <m/>
  </r>
  <r>
    <n v="389"/>
    <s v="Calculer et simplifier 9 /5+18 /8 ×2"/>
    <s v="Calculs"/>
    <s v="9 /5+6 /4=45 /20+30 /20=75 /20=15/4"/>
    <x v="0"/>
    <n v="45519"/>
    <m/>
  </r>
  <r>
    <n v="390"/>
    <s v="Calculer -50 × (-60)"/>
    <s v="Calculs"/>
    <n v="3000"/>
    <x v="0"/>
    <n v="3000"/>
    <m/>
  </r>
  <r>
    <n v="391"/>
    <s v="Calculer 43,98 × (-0,1)"/>
    <s v="Calculs"/>
    <n v="-4.3979999999999997"/>
    <x v="0"/>
    <n v="-4.3979999999999997"/>
    <m/>
  </r>
  <r>
    <n v="392"/>
    <s v="Calculer -(-10) × (-43,9)"/>
    <s v="Calculs"/>
    <n v="-439"/>
    <x v="0"/>
    <n v="-439"/>
    <m/>
  </r>
  <r>
    <n v="393"/>
    <s v="Dans une classe de 30 élèves, il y a 14 garçons. Quel est le ratio garçons : filles ? Donner ce ratio le plus simplifié possible."/>
    <s v="Proportionnalité"/>
    <s v="14 garçons donc 16 filles. Le ratio est 14 : 16 Le ratio simplifié est 7 : 8"/>
    <x v="1"/>
    <s v="7| : |8|"/>
    <m/>
  </r>
  <r>
    <n v="394"/>
    <s v="Pour une citronnade, on utilise 1,25 litres d’eau glacée, 250 mL de sucre et 500 mL de jus de citron. Quel est le ratio eau : citron : sucre ? Donner ce ratio il plus simplifié possible."/>
    <s v="Proportionnalité"/>
    <s v="Le ratio est 1 250 : 500 : 250 Le ratio simplifié est 5 : 2 : 1"/>
    <x v="5"/>
    <s v="5| : |2| : |1|"/>
    <m/>
  </r>
  <r>
    <n v="395"/>
    <s v="Lorsqu’on multiplie un tarif par 0,7. Appliquons nous une réduction ou une augmentation ? De quel pourcentage s’agit-il ?"/>
    <s v="Proportionnalité"/>
    <s v="On réduit de 30 %"/>
    <x v="2"/>
    <s v="On réduit de 30 %|On augmente de 30 %|On réduit de 70 %"/>
    <m/>
  </r>
  <r>
    <n v="396"/>
    <s v="Lorsqu’on multiplie un tarif par 1,08. Appliquons nous une réduction ou une augmentation ? De quel pourcentage s’agit-il ?"/>
    <s v="Proportionnalité"/>
    <s v="On applique une augmentation de 8 %"/>
    <x v="2"/>
    <s v="On applique une augmentation de 8 %|On applique une réduction de 8 %|On applique une réduction de 0,92 %"/>
    <m/>
  </r>
  <r>
    <n v="397"/>
    <s v="Un article passe de 35 € à 25 €. Quel est le pourcentage de réduction ? Arrondir à l’unité"/>
    <s v="Proportionnalité"/>
    <s v="(35 – 25)/35 x 100 ≈28,57 Le pourcentage arrondi à l’unité est 29 %"/>
    <x v="0"/>
    <s v="29|29%"/>
    <m/>
  </r>
  <r>
    <n v="398"/>
    <s v="Un article passe de 25 € à 35 €. Quel est le pourcentage d’augmentation ?"/>
    <s v="Proportionnalité"/>
    <s v="(35-25)/25 x 100 = 40 Le pourcentage d’augmentation est 40%"/>
    <x v="0"/>
    <s v="40|40%"/>
    <m/>
  </r>
  <r>
    <n v="399"/>
    <s v="Un article passe de 116 € à 89 €. Quel est le pourcentage de réduction ? Arrondir à l’unité"/>
    <s v="Proportionnalité"/>
    <s v="(116 – 89)/116 x 100 ≈23,27 Le pourcentage arrondi à l’unité est 23 %"/>
    <x v="0"/>
    <s v="23|23%"/>
    <m/>
  </r>
  <r>
    <n v="400"/>
    <s v="Un article passe de 89 € à 116 €. Quel est le pourcentage d’augmentation ? Arrondir à l’unité"/>
    <s v="Proportionnalité"/>
    <s v="(116-89)/89 x 100 ≈30,33 Le pourcentage d’augmentation est 30%"/>
    <x v="0"/>
    <s v="30|30%"/>
    <m/>
  </r>
  <r>
    <n v="401"/>
    <s v="Calculer le tiers de  0,24"/>
    <s v="Calculs"/>
    <n v="0.08"/>
    <x v="0"/>
    <n v="0.08"/>
    <m/>
  </r>
  <r>
    <n v="402"/>
    <s v="Calculez le  cinqième de -4,5"/>
    <s v="Calculs"/>
    <n v="-0.9"/>
    <x v="0"/>
    <n v="-0.9"/>
    <m/>
  </r>
  <r>
    <n v="403"/>
    <s v="Calculez le  quart de 0,032"/>
    <s v="Calculs"/>
    <n v="8.0000000000000002E-3"/>
    <x v="0"/>
    <n v="8.0000000000000002E-3"/>
    <m/>
  </r>
  <r>
    <n v="404"/>
    <s v="Calculez lz moitié de -37,5"/>
    <s v="Calculs"/>
    <n v="-18.75"/>
    <x v="0"/>
    <n v="-18.75"/>
    <m/>
  </r>
  <r>
    <n v="405"/>
    <s v="Calculer √64+√25"/>
    <s v="Calculs"/>
    <s v="8+5=13"/>
    <x v="0"/>
    <n v="13"/>
    <m/>
  </r>
  <r>
    <n v="406"/>
    <s v="Calculer −√81+√16"/>
    <s v="Calculs"/>
    <s v="−9+4=−5"/>
    <x v="0"/>
    <n v="-5"/>
    <m/>
  </r>
  <r>
    <n v="407"/>
    <s v="Calculer −√9−√100"/>
    <s v="Calculs"/>
    <s v="−3−10=−13"/>
    <x v="0"/>
    <n v="-13"/>
    <m/>
  </r>
  <r>
    <n v="408"/>
    <s v="Calculer √49/2"/>
    <s v="Calculs"/>
    <n v="3.5"/>
    <x v="0"/>
    <n v="3.5"/>
    <m/>
  </r>
  <r>
    <n v="409"/>
    <s v="Calculez les deux tiers de 1,5"/>
    <s v="Calculs"/>
    <n v="1"/>
    <x v="0"/>
    <n v="1"/>
    <m/>
  </r>
  <r>
    <n v="410"/>
    <s v="Calculez les trois cinquièmes de -45"/>
    <s v="Calculs"/>
    <n v="-27"/>
    <x v="0"/>
    <n v="-27"/>
    <m/>
  </r>
  <r>
    <n v="411"/>
    <s v="Calculez les sept quarts de 3,6"/>
    <s v="Calculs"/>
    <n v="6.3"/>
    <x v="0"/>
    <n v="6.3"/>
    <m/>
  </r>
  <r>
    <n v="412"/>
    <s v="Calculez les neuf septièmes de -630"/>
    <s v="Calculs"/>
    <n v="-810"/>
    <x v="0"/>
    <n v="-810"/>
    <m/>
  </r>
  <r>
    <n v="413"/>
    <s v="Calculer −6×150"/>
    <s v="Calculs"/>
    <n v="-900"/>
    <x v="0"/>
    <n v="-900"/>
    <m/>
  </r>
  <r>
    <n v="414"/>
    <s v="Calculer 11×2 300"/>
    <s v="Calculs"/>
    <n v="25300"/>
    <x v="0"/>
    <n v="25300"/>
    <m/>
  </r>
  <r>
    <n v="415"/>
    <s v="Calculer 6,2×1 100"/>
    <s v="Calculs"/>
    <n v="6820"/>
    <x v="0"/>
    <n v="6820"/>
    <m/>
  </r>
  <r>
    <n v="416"/>
    <s v="Quel est le nombre qui, multiplié par 11, donne 3 ?"/>
    <s v="Calculs"/>
    <n v="45599"/>
    <x v="0"/>
    <s v="3/11"/>
    <m/>
  </r>
  <r>
    <n v="417"/>
    <s v="Quel est le nombre qui, multiplié par -17, donne 5 ?"/>
    <s v="Calculs"/>
    <n v="-0.29411764705882354"/>
    <x v="0"/>
    <n v="-0.29411764705882354"/>
    <m/>
  </r>
  <r>
    <n v="418"/>
    <s v="Quel est le nombre qui, ajouté à -2, donne 19 ?"/>
    <s v="Calculs"/>
    <n v="21"/>
    <x v="0"/>
    <n v="21"/>
    <m/>
  </r>
  <r>
    <n v="419"/>
    <s v="Quel est le nombre qui, ajouté à -7, donne -3 ?"/>
    <s v="Calculs"/>
    <n v="4"/>
    <x v="0"/>
    <n v="4"/>
    <m/>
  </r>
  <r>
    <n v="420"/>
    <s v="Quel est le nombre qui, ajouté à -4, donne -32 ?"/>
    <s v="Calculs"/>
    <n v="-28"/>
    <x v="0"/>
    <n v="-28"/>
    <m/>
  </r>
  <r>
    <n v="421"/>
    <s v="Déterminer la valeur de x   x / 11=14 / 7"/>
    <s v="Calculs"/>
    <n v="45598"/>
    <x v="0"/>
    <s v="2/11"/>
    <m/>
  </r>
  <r>
    <n v="422"/>
    <s v="Déterminer la valeur de x  x / 3,6=7/  9"/>
    <s v="Calculs"/>
    <n v="2.8"/>
    <x v="0"/>
    <n v="2.8"/>
    <m/>
  </r>
  <r>
    <n v="423"/>
    <s v="Déterminer la valeur de x 4,8/x =−6 /10"/>
    <s v="Calculs"/>
    <n v="-8"/>
    <x v="0"/>
    <n v="-8"/>
    <m/>
  </r>
  <r>
    <n v="424"/>
    <s v="Déterminer la valeur de x 6,1 /−3= x / 1,2"/>
    <s v="Calculs"/>
    <n v="-2.44"/>
    <x v="0"/>
    <n v="-2.44"/>
    <m/>
  </r>
  <r>
    <n v="425"/>
    <s v="Calculer -11²"/>
    <s v="Calculs"/>
    <n v="-121"/>
    <x v="0"/>
    <n v="-121"/>
    <m/>
  </r>
  <r>
    <n v="426"/>
    <s v="Calculer (-12)²"/>
    <s v="Calculs"/>
    <n v="144"/>
    <x v="0"/>
    <n v="144"/>
    <m/>
  </r>
  <r>
    <n v="427"/>
    <s v="Calculer (-2)⁴"/>
    <s v="Calculs"/>
    <n v="16"/>
    <x v="0"/>
    <n v="16"/>
    <m/>
  </r>
  <r>
    <n v="428"/>
    <s v="Calculer −5³"/>
    <s v="Calculs"/>
    <n v="-125"/>
    <x v="0"/>
    <n v="-125"/>
    <m/>
  </r>
  <r>
    <n v="429"/>
    <s v="Calculer 4×10^-3"/>
    <s v="Calculs"/>
    <n v="4.0000000000000001E-3"/>
    <x v="0"/>
    <n v="4.0000000000000001E-3"/>
    <m/>
  </r>
  <r>
    <n v="430"/>
    <s v="Calculer 5,7 ×10²"/>
    <s v="Calculs"/>
    <n v="570"/>
    <x v="0"/>
    <n v="570"/>
    <m/>
  </r>
  <r>
    <n v="431"/>
    <s v="Écrire le résultat sous la forme d’une puissance 10⁷ /10^-3"/>
    <s v="Calculs"/>
    <s v="10^10"/>
    <x v="0"/>
    <s v="10^10|"/>
    <m/>
  </r>
  <r>
    <n v="432"/>
    <s v="Écrire le résultat sous la forme d’une puissance (10^-5)⁴"/>
    <s v="Calculs"/>
    <s v="10^-20"/>
    <x v="0"/>
    <s v="10^-20"/>
    <m/>
  </r>
  <r>
    <n v="433"/>
    <s v="Combien y a-t-il de semaines dans 3 années ?"/>
    <s v="Calculs"/>
    <s v="3 x 52 = 156 semaines"/>
    <x v="0"/>
    <s v="156|156 semaines"/>
    <m/>
  </r>
  <r>
    <n v="434"/>
    <s v="Convertir 12,56 dm en m"/>
    <s v="Calculs"/>
    <s v="1,256 m"/>
    <x v="0"/>
    <s v="1,256|1,256 m"/>
    <m/>
  </r>
  <r>
    <n v="435"/>
    <s v="Convertir 135 m² en cm²"/>
    <s v="Calculs"/>
    <s v="1350000 cm²"/>
    <x v="0"/>
    <s v="1350000|1350000 cm²"/>
    <m/>
  </r>
  <r>
    <n v="436"/>
    <s v="Convertir 374,56 m en hm"/>
    <s v="Calculs"/>
    <s v="3,7456 hm"/>
    <x v="0"/>
    <s v="3,7456|3,7456 hm"/>
    <m/>
  </r>
  <r>
    <n v="437"/>
    <s v="Convertir 523 731,9 dm² en dam²"/>
    <s v="Calculs"/>
    <s v="52,373 19 dm²"/>
    <x v="0"/>
    <s v="52,37319|52,37319 dm²"/>
    <m/>
  </r>
  <r>
    <n v="438"/>
    <s v="Convertir 3,2 m³ en L"/>
    <s v="Calculs"/>
    <s v="3200 L"/>
    <x v="0"/>
    <s v="3200|3200 L"/>
    <m/>
  </r>
  <r>
    <n v="439"/>
    <s v="Convertir 162,84 dam³ en m³"/>
    <s v="Calculs"/>
    <s v="162 840 m³"/>
    <x v="0"/>
    <s v="162 840|162 840 m³"/>
    <m/>
  </r>
  <r>
    <n v="440"/>
    <s v="Convertir 4 908,4 mm³ en cm³"/>
    <s v="Calculs"/>
    <s v="4,908 4 cm³"/>
    <x v="0"/>
    <s v="4,9084|4,9084 cm³"/>
    <m/>
  </r>
  <r>
    <n v="441"/>
    <s v="Développer et réduire −(4x−11)×2x"/>
    <s v="Calcul littéral"/>
    <s v="−8x²+22x"/>
    <x v="5"/>
    <s v="-8|x²|22|x|0|"/>
    <m/>
  </r>
  <r>
    <n v="442"/>
    <s v="Développer et réduire −(5+10x)×3x"/>
    <s v="Calcul littéral"/>
    <s v="−15x−30x²"/>
    <x v="5"/>
    <s v="-15|x²|-30|x|0|"/>
    <m/>
  </r>
  <r>
    <n v="443"/>
    <s v="Développer et réduire (8−9x)²"/>
    <s v="Calcul littéral"/>
    <s v="81x²−144x+64"/>
    <x v="5"/>
    <s v="81|x²|-144|x|64|"/>
    <m/>
  </r>
  <r>
    <n v="444"/>
    <s v="Développer et réduire (11+5x)²"/>
    <s v="Calcul littéral"/>
    <s v="25x²+110x+121"/>
    <x v="5"/>
    <s v="25|x²|110|x|121|"/>
    <m/>
  </r>
  <r>
    <n v="445"/>
    <s v="Développer et réduire (3−4x)(4x+3)"/>
    <s v="Calcul littéral"/>
    <s v="9−16x²"/>
    <x v="5"/>
    <s v="-16|x²|0|x|9|"/>
    <m/>
  </r>
  <r>
    <n v="446"/>
    <s v="Développer et réduire (5x+7)(5x−7)"/>
    <s v="Calcul littéral"/>
    <s v="25x²−49"/>
    <x v="5"/>
    <s v="25|x²|0|x|-49|"/>
    <m/>
  </r>
  <r>
    <n v="447"/>
    <s v="Factoriser 5x+10"/>
    <s v="Calcul littéral"/>
    <s v="5(x+2)"/>
    <x v="2"/>
    <s v="5(x+2)|2(x+5)|10(x+0,5)"/>
    <m/>
  </r>
  <r>
    <n v="448"/>
    <s v="Factoriser 4x²+4x"/>
    <s v="Calcul littéral"/>
    <s v="4x(x+1)"/>
    <x v="2"/>
    <s v="4x(x+1)|4(x+1)|4x²(x+1)"/>
    <m/>
  </r>
  <r>
    <n v="449"/>
    <s v="Factoriser 24x+6x²−6"/>
    <s v="Calcul littéral"/>
    <s v="6(4x+x²-1)"/>
    <x v="2"/>
    <s v="6(4x+x²-1)|3(8x+2x²−2)|3x(8+2x−2)"/>
    <m/>
  </r>
  <r>
    <n v="450"/>
    <s v="Factoriser en utilisant les identités remarquables 9+12x+4x²"/>
    <s v="Calcul littéral"/>
    <s v="(3+2x)²"/>
    <x v="2"/>
    <s v="(3+2x)²|(3+x)²|(3x+2)²"/>
    <m/>
  </r>
  <r>
    <n v="451"/>
    <s v="Factoriser 36x²−49"/>
    <s v="Calcul littéral"/>
    <s v="(6x-7)(6x+7)"/>
    <x v="2"/>
    <s v="(6x−7)(6x+7)|(7−6x)(7+6x)|(6x+7)(6x−7)"/>
    <m/>
  </r>
  <r>
    <n v="452"/>
    <s v="Factoriser en utilisant les identités remarquables 16−40x+25x²"/>
    <s v="Calcul littéral"/>
    <s v="(4-5x)²"/>
    <x v="2"/>
    <s v="(4−5x)²|(5x−4)²|(5−4x)²"/>
    <m/>
  </r>
  <r>
    <n v="453"/>
    <s v="Factoriser 9−16x²"/>
    <s v="Calcul littéral"/>
    <s v="(3-4x)(4x+3)"/>
    <x v="2"/>
    <s v="(3−4x)(4x+3)|(3x−4)(3x+4)|(3+4x)(3−4x)"/>
    <m/>
  </r>
  <r>
    <n v="454"/>
    <s v="Factoriser 100−64x²"/>
    <s v="Calcul littéral"/>
    <s v="(10-8x)(10+8x)"/>
    <x v="2"/>
    <s v="(10−8x)(10+8x)|(10x−8)(10x+8)|(8−10x)(10+8x)"/>
    <m/>
  </r>
  <r>
    <n v="455"/>
    <s v="Factoriser en utilisant l’identité remarquable a2-b2   (2+x)²−(3+2x)²"/>
    <s v="Calcul littéral"/>
    <s v="((2+x)−(3+2x))((2+x)+(3+2x)) = (2+x−3−2x)(2+x+3+2x)  =(−1-x)(5+3x) "/>
    <x v="2"/>
    <s v="(−1−x)(5+3x)|(2−3x)(2x+5)|(1+x)(6−3x)"/>
    <m/>
  </r>
  <r>
    <n v="456"/>
    <s v="Factoriser 25x−25x²"/>
    <s v="Calcul littéral"/>
    <s v="25x(1-x)"/>
    <x v="2"/>
    <s v="25x(1-x)|25x(1-x²)|25x(1-x)²"/>
    <m/>
  </r>
  <r>
    <n v="457"/>
    <s v="Quelle est la valeur de cette expression pour x=2 ? 24x−6x²−6"/>
    <s v="Calcul littéral"/>
    <n v="18"/>
    <x v="0"/>
    <n v="18"/>
    <m/>
  </r>
  <r>
    <n v="458"/>
    <s v="Quelle est la valeur de cette expression pour x=3 ? 7−4x+5x²"/>
    <s v="Calcul littéral"/>
    <n v="40"/>
    <x v="0"/>
    <n v="40"/>
    <m/>
  </r>
  <r>
    <n v="459"/>
    <s v="Quelle est la valeur de cette expression pour x=−1 ? −3x+7x²+8"/>
    <s v="Calcul littéral"/>
    <n v="18"/>
    <x v="0"/>
    <n v="18"/>
    <m/>
  </r>
  <r>
    <n v="460"/>
    <s v="Quelle est la valeur de cette expression pour x=−2 ? 8−40x−25x²"/>
    <s v="Calcul littéral"/>
    <n v="-12"/>
    <x v="0"/>
    <n v="-12"/>
    <m/>
  </r>
  <r>
    <n v="461"/>
    <s v="Résoudre 9−16x²=0"/>
    <s v="Calcul littéral"/>
    <s v="(3−4x)(4x+3)=0 2 solutions : 3/4 et - 3/4"/>
    <x v="8"/>
    <s v="V|Les 2 solutions sont : |0,75| et |-0,75|"/>
    <m/>
  </r>
  <r>
    <n v="462"/>
    <s v="Résoudre 100−49x²=0"/>
    <s v="Calcul littéral"/>
    <s v="(10−7x)(10+7x)=0 2 solutions : 10/7 et - 10/7"/>
    <x v="8"/>
    <s v="V|Les 2 solutions sont : |10/7| et |-10/7|"/>
    <m/>
  </r>
  <r>
    <n v="463"/>
    <s v="Résoudre 24x−6x²=0"/>
    <s v="Calcul littéral"/>
    <s v="6x(4−x)=0 2 solutions : 0 et 4"/>
    <x v="8"/>
    <s v="V|Les 2 solutions sont : |0| et |4|"/>
    <m/>
  </r>
  <r>
    <n v="464"/>
    <s v="Résoudre 49x²+7x=0"/>
    <s v="Calcul littéral"/>
    <s v="7x(7x+1)=0 2 solutions : 0 et - 1/7"/>
    <x v="8"/>
    <s v="V|Les 2 solutions sont : |0| et |-1/7|"/>
    <m/>
  </r>
  <r>
    <n v="465"/>
    <s v="Résoudre x²=−8"/>
    <s v="Calcul littéral"/>
    <s v="Aucune solution car un nombre au carré ne peut-être négatif."/>
    <x v="9"/>
    <s v="F"/>
    <m/>
  </r>
  <r>
    <n v="466"/>
    <s v="Résoudre 8x−12=10"/>
    <s v="Calcul littéral"/>
    <s v="La solution est 2,75"/>
    <x v="9"/>
    <s v="V|La solution est : |2,75"/>
    <m/>
  </r>
  <r>
    <n v="467"/>
    <s v="Résoudre 3x+21=9"/>
    <s v="Calcul littéral"/>
    <s v="La solution est −4"/>
    <x v="9"/>
    <s v="V|La solution est : |-4"/>
    <m/>
  </r>
  <r>
    <n v="468"/>
    <s v="Résoudre 5−7x=54"/>
    <s v="Calcul littéral"/>
    <s v="La solution est −7"/>
    <x v="9"/>
    <s v="V|La solution est : |-7"/>
    <m/>
  </r>
  <r>
    <n v="469"/>
    <s v="Résoudre x²=− 12"/>
    <s v="Calcul littéral"/>
    <s v="Aucune solution car un nombre au carré ne peut-être négatif."/>
    <x v="9"/>
    <s v="F"/>
    <m/>
  </r>
  <r>
    <n v="470"/>
    <s v="Résoudre 4(x−8)=6"/>
    <s v="Calcul littéral"/>
    <s v="4x−32=6 La solution est 9,5"/>
    <x v="9"/>
    <s v="V|La solution est : |9,5"/>
    <m/>
  </r>
  <r>
    <n v="471"/>
    <s v="Résoudre 5(3x−7)=−40"/>
    <s v="Calcul littéral"/>
    <s v="15x−35=−40 La solution est -1/3"/>
    <x v="9"/>
    <s v="V|La solution est : |-1/3"/>
    <m/>
  </r>
  <r>
    <n v="472"/>
    <s v="Résoudre 2x−7=42+6x"/>
    <s v="Calcul littéral"/>
    <s v="La solution est -12,25"/>
    <x v="9"/>
    <s v="V|La solution est : |-12,25"/>
    <m/>
  </r>
  <r>
    <n v="473"/>
    <s v="Résoudre 19−3x=−8x+7"/>
    <s v="Calcul littéral"/>
    <s v="La solution est −2,4"/>
    <x v="9"/>
    <s v="V|La solution est : |-2,4"/>
    <m/>
  </r>
  <r>
    <n v="474"/>
    <s v="Après avoir développé, résoudre 6(2x−5)+3(x−7)=15"/>
    <s v="Calcul littéral"/>
    <s v="La solution est 2,75"/>
    <x v="9"/>
    <s v="V|La solution est : |2,75"/>
    <m/>
  </r>
  <r>
    <n v="475"/>
    <s v="Après avoir développé, résoudre 9(x+7)−4(3x−8)=62"/>
    <s v="Calcul littéral"/>
    <s v="−3x+95=62 La solution est 11"/>
    <x v="9"/>
    <s v="V|La solution est : |11"/>
    <m/>
  </r>
  <r>
    <n v="476"/>
    <s v="Après avoir factorisé, résoudre (3x+1)(2x+5)+4(3x+1)=0"/>
    <s v="Calcul littéral"/>
    <s v="(3x+1)(2x+9)=0 Les 2 solutions sont −1/3 et -4,5"/>
    <x v="8"/>
    <s v="V|Les 2 solutions sont : |-1/3| et |-4,5|"/>
    <m/>
  </r>
  <r>
    <n v="477"/>
    <s v="Après avoir factorisé, résoudre (x−8)(4x+11)−7(x−8)=0"/>
    <s v="Calcul littéral"/>
    <s v="(x−8)(4x+4)=0 Les 2 solutions sont −1 et 8"/>
    <x v="8"/>
    <s v="V|Les 2 solutions sont : |-1| et |8|"/>
    <m/>
  </r>
  <r>
    <n v="478"/>
    <s v="Après avoir factorisé, résoudre (4x−1)(5x+7)+(3x+9)(4x−1)=0"/>
    <s v="Calcul littéral"/>
    <s v="(4x−1)(8x+16)=0 Les 2 solutions sont 1/4 et - 2"/>
    <x v="8"/>
    <s v="V|Les 2 solutions sont : |0,25| et |-2|"/>
    <m/>
  </r>
  <r>
    <n v="479"/>
    <s v="Après avoir développé, résoudre −7(6x+5)−4(x+9)=−8(x−11)−7"/>
    <s v="Calcul littéral"/>
    <s v="−46x−71=−8x+81 La solution est -4"/>
    <x v="9"/>
    <s v="V|La solution est : |-4"/>
    <m/>
  </r>
  <r>
    <n v="480"/>
    <s v="Résoudre 3x+1/5=7/8"/>
    <s v="Calcul littéral"/>
    <s v="La solution est 9/40 "/>
    <x v="9"/>
    <s v="V|La solution est : |9/40"/>
    <m/>
  </r>
  <r>
    <n v="481"/>
    <s v="Peut-on avoir plusieurs antécédents par une fonction ?"/>
    <s v="Fonctions"/>
    <s v="Oui, comme pour la fonction carrée"/>
    <x v="4"/>
    <s v="V"/>
    <m/>
  </r>
  <r>
    <n v="482"/>
    <s v="Peut-on avoir plusieurs images par une fonction ?"/>
    <s v="Fonctions"/>
    <s v="Non, l’image est unique."/>
    <x v="4"/>
    <s v="F"/>
    <m/>
  </r>
  <r>
    <n v="483"/>
    <s v="Soit f la fonction définie par f(x)= 8x−9. Quelle est l’image de 10 par la fonction f?"/>
    <s v="Fonctions"/>
    <s v="C’est 71."/>
    <x v="0"/>
    <n v="71"/>
    <m/>
  </r>
  <r>
    <n v="484"/>
    <s v="Soit f la fonction définie par f(x)= 6x+4. Quelle est l’image de - 5 par la fonction f?"/>
    <s v="Fonctions"/>
    <s v="C’est - 26"/>
    <x v="0"/>
    <n v="-26"/>
    <m/>
  </r>
  <r>
    <n v="485"/>
    <s v="Soit f la fonction définie par f(x)= −5x+11. Calculer un antécédent de – 4 par la fonction f."/>
    <s v="Fonctions"/>
    <s v="C’est 3."/>
    <x v="0"/>
    <n v="3"/>
    <m/>
  </r>
  <r>
    <n v="486"/>
    <s v="Soit f la fonction définie par f(x)= −7x−2. Calculer un antécédent de -58 par la fonction f."/>
    <s v="Fonctions"/>
    <s v="C’est 8."/>
    <x v="0"/>
    <n v="8"/>
    <m/>
  </r>
  <r>
    <n v="487"/>
    <s v="Quel est l’antécédent de -1 par la fonction ℎ:x→−2,5 x−6 ?"/>
    <s v="Fonctions"/>
    <s v="C’est -2."/>
    <x v="0"/>
    <n v="-2"/>
    <m/>
  </r>
  <r>
    <n v="488"/>
    <s v="Quelle est l’image de - 1 par la fonction k: x→−2,5 x²+8 ?"/>
    <s v="Fonctions"/>
    <s v="C’est 5,5."/>
    <x v="0"/>
    <n v="5.5"/>
    <m/>
  </r>
  <r>
    <n v="489"/>
    <s v="Quelle est l’image de 4 par cette fonction dont voici la représentation graphique ?"/>
    <s v="Fonctions"/>
    <s v="C’est 5."/>
    <x v="0"/>
    <n v="5"/>
    <s v="oui"/>
  </r>
  <r>
    <n v="490"/>
    <s v="Quelle est l’image de 0 par cette fonction dont voici la représentation graphique ?"/>
    <s v="Fonctions"/>
    <s v="C’est 2."/>
    <x v="0"/>
    <n v="2"/>
    <s v="oui"/>
  </r>
  <r>
    <n v="491"/>
    <s v="Quel est l’antécédent de -2 par cette fonction dont voici la représentation graphique ?"/>
    <s v="Fonctions"/>
    <s v="C’est 1."/>
    <x v="0"/>
    <n v="1"/>
    <s v="oui"/>
  </r>
  <r>
    <n v="492"/>
    <s v="Quel est l’antécédent de 2 par cette fonction dont voici la représentation graphique ?"/>
    <s v="Fonctions"/>
    <s v="C’est 0."/>
    <x v="0"/>
    <n v="0"/>
    <s v="oui"/>
  </r>
  <r>
    <n v="493"/>
    <s v="Quelle est l’image de -2 par cette fonction dont voici la représentation graphique ?"/>
    <s v="Fonctions"/>
    <s v="C’est - 1."/>
    <x v="0"/>
    <n v="-1"/>
    <s v="oui"/>
  </r>
  <r>
    <n v="494"/>
    <s v="Est-ce la représentation graphique d’une fonction affine ?"/>
    <s v="Fonctions"/>
    <s v="C’est oui, car c’est une droite."/>
    <x v="4"/>
    <s v="V"/>
    <s v="oui"/>
  </r>
  <r>
    <n v="495"/>
    <s v="Est-ce la représentation graphique d’une fonction linéaire ?"/>
    <s v="Fonctions"/>
    <s v="C’est non car c’est une droite mais qui ne passe pas par l’origine."/>
    <x v="4"/>
    <s v="F"/>
    <s v="oui"/>
  </r>
  <r>
    <n v="496"/>
    <s v="Est-ce la représentation graphique d’une fonction affine ?"/>
    <s v="Fonctions"/>
    <s v="Non car ce n’est pas une droite."/>
    <x v="4"/>
    <s v="F"/>
    <s v="oui"/>
  </r>
  <r>
    <n v="497"/>
    <s v="Quelle est l’image de 0 par cette fonction dont voici la représentation graphique ?"/>
    <s v="Fonctions"/>
    <s v="C’est 0"/>
    <x v="0"/>
    <n v="0"/>
    <s v="oui"/>
  </r>
  <r>
    <n v="498"/>
    <s v="Quelle est l’image de 2 par cette fonction dont voici la représentation graphique ?"/>
    <s v="Fonctions"/>
    <s v="C’est 4"/>
    <x v="0"/>
    <n v="4"/>
    <s v="oui"/>
  </r>
  <r>
    <n v="499"/>
    <s v="Quels sont les antécédents de 3 par cette fonction dont voici la représentation graphique ?"/>
    <s v="Fonctions"/>
    <s v="Ce sont 1 et 3."/>
    <x v="7"/>
    <s v="1|3"/>
    <s v="oui"/>
  </r>
  <r>
    <n v="500"/>
    <s v="Quels sont les antécédents de 0 par cette  fonction dont voici la représentation graphique ? "/>
    <s v="Fonctions"/>
    <s v="Ce sont 0 et 4."/>
    <x v="7"/>
    <s v="0|4"/>
    <s v="oui"/>
  </r>
  <r>
    <n v="501"/>
    <s v="Est-ce la représentation graphique d’une fonction affine ? "/>
    <s v="Fonctions"/>
    <s v="Non car ce n’est pas une droite."/>
    <x v="4"/>
    <s v="F"/>
    <s v="oui"/>
  </r>
  <r>
    <n v="502"/>
    <s v="Voici le tableau de valeurs d’une fonction f. Quelle est l’image de 5 par f ?"/>
    <s v="Fonctions"/>
    <s v="C’est 7."/>
    <x v="0"/>
    <n v="7"/>
    <s v="oui"/>
  </r>
  <r>
    <n v="503"/>
    <s v="Voici le tableau de valeurs d’une fonction f. Quelle est l’antécédent de 5 par f ?"/>
    <s v="Fonctions"/>
    <s v="C’est 3."/>
    <x v="0"/>
    <n v="3"/>
    <s v="oui"/>
  </r>
  <r>
    <n v="504"/>
    <s v="Que représentent a et b dans l’expression de la fonction affine f(x)=ax+b ?"/>
    <s v="Fonctions"/>
    <s v="a est le coefficient directeur b est l’ordonnée à l’origine."/>
    <x v="2"/>
    <s v="a est le coefficient directeur, b est l'ordonnée à l'origine.|a est l'ordonnée à l'origine, b est le coefficient directeur.|a et b ne représentent rien de spécifique."/>
    <m/>
  </r>
  <r>
    <n v="505"/>
    <s v="Le point A(-3 ; -1) est-il sur la représentation graphique de cette fonction f : x-&gt; −3x−1 ?"/>
    <s v="Fonctions"/>
    <s v="f(-3) = -3 x (-3) -1 = 9 – 1 = 8 A n’est pas sur la représentation graphique de f."/>
    <x v="4"/>
    <s v="F"/>
    <m/>
  </r>
  <r>
    <n v="506"/>
    <s v="Le point A(2 ; - 7) est-il sur la représentation graphique de cette fonction f : x-&gt; −3x−1 ?"/>
    <s v="Fonctions"/>
    <s v="f(2) = -3 x 2 -1 = - 6 – 1 = -7 A est sur la représentation graphique de f."/>
    <x v="4"/>
    <s v="V"/>
    <m/>
  </r>
  <r>
    <n v="507"/>
    <s v="Quelle est l’expression de cette fonction dont voici la représentation graphique ?"/>
    <s v="Fonctions"/>
    <s v="f(x)=1/3 x−1"/>
    <x v="2"/>
    <s v="f(x)=1/3x−1|f(x)=1/2x−3|f(x)=3x+2"/>
    <s v="oui"/>
  </r>
  <r>
    <n v="508"/>
    <s v="Quelle est l’expression de cette fonction dont voici la représentation graphique ?"/>
    <s v="Fonctions"/>
    <s v="f(x)=4/5x−2"/>
    <x v="2"/>
    <s v="f(x)=4/5x−2|f(x)=x+4|f(x)=2/3x+1"/>
    <s v="oui"/>
  </r>
  <r>
    <n v="509"/>
    <s v="Quelle est l’expression de cette fonction dont voici la représentation graphique ?"/>
    <s v="Fonctions"/>
    <s v="f(x)=−1/2x+2"/>
    <x v="2"/>
    <s v="f(x)=−1/2x+2|f(x)=2x−1|f(x)=x+2"/>
    <s v="oui"/>
  </r>
  <r>
    <n v="510"/>
    <s v="Parmi ces fonctions, quelles sont celles qui sont des fonctions linéaires? • f: x -&gt; 3x² - 8 • g: x -&gt; 9 x • h: x -&gt; - 10 • i: x -&gt; 17 - 4 x • j: x -&gt; x/11 • k: x -&gt; 13/x"/>
    <s v="Fonctions"/>
    <s v="Les fonctions g et j."/>
    <x v="2"/>
    <s v="Les fonctions g et j|Les fonctions f et h|Les fonctions g et i"/>
    <m/>
  </r>
  <r>
    <n v="511"/>
    <s v="Parmi ces fonctions, quelles sont celles qui sont des fonctions affines? • f: x -&gt; 3x2 - 8 • g: x -&gt; 9 x • h: x -&gt; - 10 • i: x -&gt; 17 - 4 x • j: x -&gt; x/11 • k: x -&gt; 13/x"/>
    <s v="Fonctions"/>
    <s v="Les fonctions g, h, i et j"/>
    <x v="2"/>
    <s v="Les fonctions g, h, i et j|Les fonctions g, h, et i|Les fonctions g, h, i et k"/>
    <m/>
  </r>
  <r>
    <n v="512"/>
    <s v="Quelle est l’expression de cette fonction dont voici la représentation graphique ?"/>
    <s v="Fonctions"/>
    <s v="f(x)=−1/4 x"/>
    <x v="2"/>
    <s v="f(x)=−1/4x|f(x)=1/4x|f(x)=1/2x"/>
    <s v="oui"/>
  </r>
  <r>
    <n v="513"/>
    <s v="Simplifier 340/2 754 (sans calculatrice)"/>
    <s v="Nombres"/>
    <s v="340 = 2² x 5 x 17 2 754 = 2 x 3⁴ x 17 340/2 754 = 2 x 5 / 3⁴ 340/2 754 = 10/81"/>
    <x v="0"/>
    <s v="(1/10)"/>
    <m/>
  </r>
  <r>
    <n v="514"/>
    <s v="Quel est le plus petit multiple commun de 8 et de 10 ?"/>
    <s v="Nombres"/>
    <s v="C’est 40. 8 x 5 = 40 Et 10 x 4 = 40"/>
    <x v="0"/>
    <n v="40"/>
    <m/>
  </r>
  <r>
    <n v="515"/>
    <s v="Quel est le plus petit multiple commun de 9 et de 12 ?"/>
    <s v="Nombres"/>
    <s v="C’est 36. 9 x 4 = 36 Et 12 x 3 = 36"/>
    <x v="0"/>
    <n v="36"/>
    <m/>
  </r>
  <r>
    <n v="516"/>
    <s v="Sans poser de division, quel est le reste de la division euclidienne de 1 609 par 16 ? (sans calculatrice)"/>
    <s v="Nombres"/>
    <s v="C’est 9. 1 609 = 16 x 100 +9"/>
    <x v="0"/>
    <n v="9"/>
    <m/>
  </r>
  <r>
    <n v="517"/>
    <s v="Vrai ou faux ? « Tous les nombres premiers sont impairs »."/>
    <s v="Nombres"/>
    <s v="Faux, car 2 est le seul nombre pair et premier."/>
    <x v="4"/>
    <s v="F"/>
    <m/>
  </r>
  <r>
    <n v="518"/>
    <s v="Sans poser les calculs, le nombre 7 267 est-il divisible par 6 ? "/>
    <s v="Nombres"/>
    <s v="Non, 7 267 n’est pas pair or pour qu’un nombre soit divisible par 6, il faut qu’il soit divisible par 2 et par 3."/>
    <x v="4"/>
    <s v="F"/>
    <m/>
  </r>
  <r>
    <n v="519"/>
    <s v="Sans poser les calculs, le nombre 3 768 est-il divisible par 6 ? "/>
    <s v="Nombres"/>
    <s v="Vrai 3 768 est divisible par 2 (il est pair) 3 768 est divisible par 3 (3+7+6+8 = 24 et 24 est dans la table de 3) 3 768 est divisible par 6."/>
    <x v="4"/>
    <s v="V"/>
    <m/>
  </r>
  <r>
    <n v="520"/>
    <s v="Citer les 4 mots de vocabulaire liés à cette division euclidienne."/>
    <s v="Nombres"/>
    <s v="26 est le dividende 3 est le diviseur 8 est le quotient 2 est le reste"/>
    <x v="10"/>
    <s v="26| est le dividende |3| est le diviseur |8| est le quotient |2| est le reste"/>
    <s v="oui"/>
  </r>
  <r>
    <n v="521"/>
    <s v="Quelle formule faut-il inscrire dans la cellule D2 pour calculer le nombre 1 au carré ?"/>
    <s v="Informatique"/>
    <s v="C’est =A2^2 ou = A2*A2 Ou = PUISSANCE(A2 ;2)"/>
    <x v="2"/>
    <s v="D2 =PUISSANCE(A2;2)|D2 =PUISSANCE(A2;A2)|D2 =MULTI(A2;A2) "/>
    <s v="oui"/>
  </r>
  <r>
    <n v="522"/>
    <s v="Quelle formule faut-il inscrire dans la cellule D2 pour calculer la somme des nombre 1, nombre 2 et nombre 3 ?"/>
    <s v="Informatique"/>
    <s v="C’est =A2+B2+C2 ou = SOMME(A2 :C2)"/>
    <x v="2"/>
    <s v="D2 =SOMME(A2:C2)|D2 =SOMME(A2;B2;C2)|D2 =SOMME(A2:B2) "/>
    <s v="oui"/>
  </r>
  <r>
    <n v="523"/>
    <s v="Quelle formule faut-il inscrire dans la cellule D2 pour calculer la moyenne des nombre 1, nombre 2 et nombre 3 ?"/>
    <s v="Informatique"/>
    <s v="C’est = MOYENNE(A2 :C2)"/>
    <x v="2"/>
    <s v="D2 =MOYENNE(A2:C2)|D2 =MOYENNE(A2+B2+C2)|D2 = MOYENNE(A2;B2;C2)"/>
    <s v="oui"/>
  </r>
  <r>
    <n v="524"/>
    <s v="Quelle formule faut-il inscrire dans la cellule D2 pour calculer la médiane des nombre 1, nombre 2 et nombre 3 ?"/>
    <s v="Informatique"/>
    <s v="C’est = MEDIANE(A2 :C2)"/>
    <x v="2"/>
    <s v="D2 =MEDIANE(A2:C2)|D2 =MEDIANE(A2;B2;C2)|D2 =MEDIANE(A2+B2+C2)"/>
    <s v="oui"/>
  </r>
  <r>
    <n v="525"/>
    <s v="Quelle formule faut-il inscrire dans la cellule D2 pour calculer l’étendue de la série composée des nombre 1, nombre 2 et nombre 3 ?"/>
    <s v="Informatique"/>
    <s v="C’est = MAX(A2 :C2) - MIN(A2 :C2)"/>
    <x v="2"/>
    <s v="D2 =MAX(A2:C2)−MIN(A2:C2)|D2 =MAX(A2;B2;C2)−MIN(A2;B2;C2)|D2 =MAX(A2:C2)+MIN(A2:C2)"/>
    <s v="oui"/>
  </r>
  <r>
    <n v="526"/>
    <s v="Quelle formule faut-il inscrire dans la cellule D2 pour calculer la différence entre le nombre 3 et le nombre 2 ?"/>
    <s v="Informatique"/>
    <s v="C’est = C2 – B2"/>
    <x v="2"/>
    <s v="D2 =C2−B2|D2 =C2+B2|D2 =B2−C2"/>
    <s v="oui"/>
  </r>
  <r>
    <n v="527"/>
    <s v="Quelle formule faut-il inscrire dans la cellule D2 pour calculer le quotient du nombre 3 par le nombre 1 ?"/>
    <s v="Informatique"/>
    <s v="C’est = C2 / A2"/>
    <x v="2"/>
    <s v="D2 =C2/A2|D2 =A2/B2|D2 =C2−A2"/>
    <s v="oui"/>
  </r>
  <r>
    <n v="528"/>
    <s v="Quelle formule faut-il inscrire dans la cellule D2 pour calculer le produit du nombre 2 et du nombre 1 ?"/>
    <s v="Informatique"/>
    <s v="C’est = A2 * B2"/>
    <x v="2"/>
    <s v="D2 =A2∗B2|D2 =A2+B2|D2 =A2/B2"/>
    <s v="oui"/>
  </r>
  <r>
    <n v="529"/>
    <s v="Quel nombre obtient-on avec ce programme si l’on choisit 10 au départ ?"/>
    <s v="Informatique"/>
    <s v="C’est 655"/>
    <x v="0"/>
    <n v="655"/>
    <s v="oui"/>
  </r>
  <r>
    <n v="530"/>
    <s v="Quel nombre obtient-on avec ce programme si l’on choisit 40 au départ ?"/>
    <s v="Informatique"/>
    <s v="C’est 30"/>
    <x v="0"/>
    <n v="30"/>
    <s v="oui"/>
  </r>
  <r>
    <n v="531"/>
    <s v="Quel nombre obtient-on avec ce programme si l’on choisit 60 au départ ?"/>
    <s v="Informatique"/>
    <s v="C’est 312"/>
    <x v="0"/>
    <n v="312"/>
    <s v="oui"/>
  </r>
  <r>
    <n v="532"/>
    <s v="Quel nombre obtient-on avec ce programme si l’on choisit 30 au départ ?"/>
    <s v="Informatique"/>
    <s v="C’est 87"/>
    <x v="0"/>
    <n v="87"/>
    <s v="oui"/>
  </r>
  <r>
    <n v="533"/>
    <s v="Quel nombre obtient-on avec ce programme si l’on choisit 6 au départ ?"/>
    <s v="Informatique"/>
    <s v="C’est 146"/>
    <x v="0"/>
    <n v="146"/>
    <s v="oui"/>
  </r>
  <r>
    <n v="534"/>
    <s v="Quel nombre obtient-on avec ce programme si l’on choisit 22 au départ ?"/>
    <s v="Informatique"/>
    <s v="C’est 28."/>
    <x v="0"/>
    <n v="28"/>
    <s v="oui"/>
  </r>
  <r>
    <n v="535"/>
    <s v="Quel nombre obtient-on avec ce programme si l’on choisit 200 au départ ?"/>
    <s v="Informatique"/>
    <s v="C’est 2 100"/>
    <x v="0"/>
    <n v="2100"/>
    <s v="oui"/>
  </r>
  <r>
    <n v="536"/>
    <s v="Quel nombre obtient-on avec ce programme si l’on choisit 100 au départ ?"/>
    <s v="Informatique"/>
    <s v="C’est 900"/>
    <x v="0"/>
    <n v="900"/>
    <s v="oui"/>
  </r>
  <r>
    <n v="537"/>
    <s v="Quelle formule faut-il inscrire dans la cellule B4 pour calculer le nombre 2 au carré ?"/>
    <s v="Informatique"/>
    <s v="C’est =B2^2 ou = B2*B2 Ou = PUISSANCE(B2 ;2)"/>
    <x v="2"/>
    <s v="B4 =B2²|B4 =B2+B2|B4 =PUISSANCE(B2;2)"/>
    <s v="oui"/>
  </r>
  <r>
    <n v="538"/>
    <s v="Quelle formule faut-il inscrire dans la cellule B4 pour calculer la somme des nombre 1, nombre 2 et nombre 3 ?"/>
    <s v="Informatique"/>
    <s v="C’est =B1+B2+B3 ou = SOMME(B1 :B3)"/>
    <x v="2"/>
    <s v="B4 =SOMME(B1:B3)|B4 =SOMME(B1;B3)|B4 =SOMME(B1:B4)"/>
    <s v="oui"/>
  </r>
  <r>
    <n v="539"/>
    <s v="Quelle formule faut-il inscrire dans la cellule B4 pour calculer la moyenne des nombre 1, nombre 2 et nombre 3 ?"/>
    <s v="Informatique"/>
    <s v="C’est = MOYENNE(B1 :B3)"/>
    <x v="2"/>
    <s v="B4 =MOYENNE(B1:B3)|B4 =AVERAGE(B1:B3)|B4 =MOYENNE(B1;B2;B3)"/>
    <s v="oui"/>
  </r>
  <r>
    <n v="540"/>
    <s v="Quelle formule faut-il inscrire dans la cellule B4 pour calculer la médiane des nombre 1, nombre 2 et nombre 3 ?"/>
    <s v="Informatique"/>
    <s v="C’est = MEDIANE(B1 :B3)"/>
    <x v="2"/>
    <s v="B4 =MEDIANE(B1:B3)|B4 =MEDIANE(B1;B2)|B4 =MEDIANE(B1;B2;B3)"/>
    <s v="oui"/>
  </r>
  <r>
    <n v="541"/>
    <s v="Quelle formule faut-il inscrire dans la cellule B4 pour calculer l’étendue de la série composée des nombre 1, nombre 2 et nombre 3 ?"/>
    <s v="Informatique"/>
    <s v="C’est = MAX(B1 :B3) - MIN(B1 :B3)"/>
    <x v="2"/>
    <s v="B4 =MAX(B1:B3)−MIN(B1:B3)|B4 =MAX(B1;B2;B3)+MIN(B1;B2;B3)|B4 =SOMME(B1:B3)−MIN(B1:B3)"/>
    <s v="oui"/>
  </r>
  <r>
    <n v="542"/>
    <s v="Quelle formule faut-il inscrire dans la cellule B4 pour calculer la différence entre le nombre 3 et le nombre 2 ?"/>
    <s v="Informatique"/>
    <s v="C’est = B3 – B2"/>
    <x v="2"/>
    <s v="B4 =B3−B2|B4 =B2−B3|B4 =B3+B2"/>
    <s v="oui"/>
  </r>
  <r>
    <n v="543"/>
    <s v="Quelle formule faut-il inscrire dans la cellule B4 pour calculer le quotient du nombre 3 par le nombre 1 ?"/>
    <s v="Informatique"/>
    <s v="C’est = B3 / B1"/>
    <x v="2"/>
    <s v="B4 =B3/B1|B4 =B3−B1|B4 =B1/B3"/>
    <s v="oui"/>
  </r>
  <r>
    <n v="544"/>
    <s v="Quelle formule faut-il inscrire dans la cellule B4 pour calculer le produit du nombre 2 et du nombre 1 ?"/>
    <s v="Informatique"/>
    <s v="C’est = B1 * B2"/>
    <x v="2"/>
    <s v="B4 =B1∗B2|B4 =B1+B2|B4 =B1/B2"/>
    <s v="oui"/>
  </r>
  <r>
    <n v="545"/>
    <s v="Que faut-il rajouter dans le bloc pour se diriger vers l’Est ?"/>
    <s v="Informatique"/>
    <s v="S’orienter à 90"/>
    <x v="2"/>
    <s v="S’orienter à 90|S’orienter à 45|S’orienter à -90"/>
    <s v="oui"/>
  </r>
  <r>
    <n v="546"/>
    <s v="Que faut-il rajouter dans le bloc pour se diriger vers le Nord ?"/>
    <s v="Informatique"/>
    <s v="S’orienter à 0"/>
    <x v="2"/>
    <s v="S’orienter à 0|S’orienter à 90|S’orienter à 180"/>
    <s v="oui"/>
  </r>
  <r>
    <n v="547"/>
    <s v="Que faut-il rajouter dans le bloc pour se diriger vers le Sud ?"/>
    <s v="Informatique"/>
    <s v="S’orienter à 180"/>
    <x v="2"/>
    <s v="S’orienter à 180|S’orienter à 0|S’orienter à -180"/>
    <s v="oui"/>
  </r>
  <r>
    <n v="548"/>
    <s v="Que faut-il rajouter dans le bloc pour se diriger vers l’Ouest ?"/>
    <s v="Informatique"/>
    <s v="S’orienter à - 90"/>
    <x v="2"/>
    <s v="S’orienter à -90|S’orienter à 90|S’orienter à 180"/>
    <s v="oui"/>
  </r>
  <r>
    <n v="549"/>
    <s v="Compléter le script pour qu’il trace un triangle équilatéral de côté 80 pas."/>
    <s v="Informatique"/>
    <s v="répéter 3 fois  avancer de 80 pas  tourner de 120 degrès"/>
    <x v="5"/>
    <s v="3|répéter x fois, |80|avancer de x pas, |120|tourner de x degrès"/>
    <s v="oui"/>
  </r>
  <r>
    <n v="550"/>
    <s v="Compléter le script pour qu’il trace un carré de côté 100 pas."/>
    <s v="Informatique"/>
    <s v="répéter 4 fois  avancer de 100 pas  tourner de 90 degrès"/>
    <x v="5"/>
    <s v="4|répéter x fois, |100|avancer de x pas, |90|tourner de x degrès"/>
    <s v="oui"/>
  </r>
  <r>
    <n v="551"/>
    <s v="Compléter le script pour qu’il trace cet escalier dont la hauteur des marches est 50 pas et la profondeur 70 pas."/>
    <s v="Informatique"/>
    <s v="répéter 3 fois  avancer de 50 pas  tourner de 90 degrès  avancer de 70 pas"/>
    <x v="10"/>
    <s v="3|répéter x fois, |50|avancer de x pas, |90|tourner de x degrès, |70|avancer de x pas"/>
    <s v="oui"/>
  </r>
  <r>
    <n v="552"/>
    <s v="Compléter le script pour qu’il trace un pentagone régulier de côté de longueur 50 pas."/>
    <s v="Informatique"/>
    <s v="répéter 5 fois  avancer de 50 pas  tourner de 72 degrès "/>
    <x v="5"/>
    <s v="8|répéter x fois, |50|avancer de x pas, |72|tourner de x degrès"/>
    <s v="oui"/>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ED422B4-42EF-4552-9C0B-DA31FF730610}" name="Tableau croisé dynamique2" cacheId="0" applyNumberFormats="0" applyBorderFormats="0" applyFontFormats="0" applyPatternFormats="0" applyAlignmentFormats="0" applyWidthHeightFormats="1" dataCaption="Valeurs" updatedVersion="8" minRefreshableVersion="3" useAutoFormatting="1" itemPrintTitles="1" createdVersion="8" indent="0" outline="1" outlineData="1" multipleFieldFilters="0">
  <location ref="A3:B16" firstHeaderRow="1" firstDataRow="1" firstDataCol="1"/>
  <pivotFields count="7">
    <pivotField dataField="1" showAll="0"/>
    <pivotField showAll="0"/>
    <pivotField axis="axisRow" showAll="0">
      <items count="13">
        <item x="5"/>
        <item x="7"/>
        <item x="4"/>
        <item x="10"/>
        <item x="1"/>
        <item x="2"/>
        <item x="11"/>
        <item x="6"/>
        <item x="9"/>
        <item x="0"/>
        <item x="8"/>
        <item x="3"/>
        <item t="default"/>
      </items>
    </pivotField>
    <pivotField showAll="0"/>
    <pivotField showAll="0"/>
    <pivotField showAll="0"/>
    <pivotField showAll="0"/>
  </pivotFields>
  <rowFields count="1">
    <field x="2"/>
  </rowFields>
  <rowItems count="13">
    <i>
      <x/>
    </i>
    <i>
      <x v="1"/>
    </i>
    <i>
      <x v="2"/>
    </i>
    <i>
      <x v="3"/>
    </i>
    <i>
      <x v="4"/>
    </i>
    <i>
      <x v="5"/>
    </i>
    <i>
      <x v="6"/>
    </i>
    <i>
      <x v="7"/>
    </i>
    <i>
      <x v="8"/>
    </i>
    <i>
      <x v="9"/>
    </i>
    <i>
      <x v="10"/>
    </i>
    <i>
      <x v="11"/>
    </i>
    <i t="grand">
      <x/>
    </i>
  </rowItems>
  <colItems count="1">
    <i/>
  </colItems>
  <dataFields count="1">
    <dataField name="Nombre de n°"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36AFA72-FDE4-4AA7-BE40-ECDED4E9D40C}" name="Tableau croisé dynamique6" cacheId="1" applyNumberFormats="0" applyBorderFormats="0" applyFontFormats="0" applyPatternFormats="0" applyAlignmentFormats="0" applyWidthHeightFormats="1" dataCaption="Valeurs" updatedVersion="8" minRefreshableVersion="3" useAutoFormatting="1" itemPrintTitles="1" createdVersion="8" indent="0" outline="1" outlineData="1" multipleFieldFilters="0">
  <location ref="A3:B15" firstHeaderRow="1" firstDataRow="1" firstDataCol="1"/>
  <pivotFields count="7">
    <pivotField dataField="1" numFmtId="49" showAll="0"/>
    <pivotField showAll="0"/>
    <pivotField showAll="0"/>
    <pivotField showAll="0"/>
    <pivotField axis="axisRow" showAll="0">
      <items count="12">
        <item x="2"/>
        <item x="3"/>
        <item x="7"/>
        <item x="0"/>
        <item x="1"/>
        <item x="5"/>
        <item x="10"/>
        <item x="4"/>
        <item x="6"/>
        <item x="9"/>
        <item x="8"/>
        <item t="default"/>
      </items>
    </pivotField>
    <pivotField showAll="0"/>
    <pivotField showAll="0"/>
  </pivotFields>
  <rowFields count="1">
    <field x="4"/>
  </rowFields>
  <rowItems count="12">
    <i>
      <x/>
    </i>
    <i>
      <x v="1"/>
    </i>
    <i>
      <x v="2"/>
    </i>
    <i>
      <x v="3"/>
    </i>
    <i>
      <x v="4"/>
    </i>
    <i>
      <x v="5"/>
    </i>
    <i>
      <x v="6"/>
    </i>
    <i>
      <x v="7"/>
    </i>
    <i>
      <x v="8"/>
    </i>
    <i>
      <x v="9"/>
    </i>
    <i>
      <x v="10"/>
    </i>
    <i t="grand">
      <x/>
    </i>
  </rowItems>
  <colItems count="1">
    <i/>
  </colItems>
  <dataFields count="1">
    <dataField name="Nombre de n°" fld="0" subtotal="count" baseField="0" baseItem="0"/>
  </dataFields>
  <formats count="6">
    <format dxfId="14">
      <pivotArea dataOnly="0" labelOnly="1" fieldPosition="0">
        <references count="1">
          <reference field="4" count="1">
            <x v="0"/>
          </reference>
        </references>
      </pivotArea>
    </format>
    <format dxfId="13">
      <pivotArea dataOnly="0" labelOnly="1" fieldPosition="0">
        <references count="1">
          <reference field="4" count="1">
            <x v="0"/>
          </reference>
        </references>
      </pivotArea>
    </format>
    <format dxfId="12">
      <pivotArea dataOnly="0" labelOnly="1" fieldPosition="0">
        <references count="1">
          <reference field="4" count="1">
            <x v="1"/>
          </reference>
        </references>
      </pivotArea>
    </format>
    <format dxfId="11">
      <pivotArea dataOnly="0" labelOnly="1" fieldPosition="0">
        <references count="1">
          <reference field="4" count="1">
            <x v="7"/>
          </reference>
        </references>
      </pivotArea>
    </format>
    <format dxfId="10">
      <pivotArea dataOnly="0" labelOnly="1" fieldPosition="0">
        <references count="1">
          <reference field="4" count="1">
            <x v="3"/>
          </reference>
        </references>
      </pivotArea>
    </format>
    <format dxfId="9">
      <pivotArea dataOnly="0" labelOnly="1" fieldPosition="0">
        <references count="1">
          <reference field="4"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2E6E67B-D3E2-42CC-8F44-6EA8D6BA0BA6}" name="Tableau1" displayName="Tableau1" ref="A1:G545" totalsRowShown="0" headerRowDxfId="8" dataDxfId="7">
  <autoFilter ref="A1:G545" xr:uid="{82E6E67B-D3E2-42CC-8F44-6EA8D6BA0BA6}"/>
  <tableColumns count="7">
    <tableColumn id="1" xr3:uid="{9196F535-D523-4F95-A728-32995236586D}" name="n°" dataDxfId="6"/>
    <tableColumn id="2" xr3:uid="{A662171B-FEC9-4C8F-9FC7-A8DE9501A9D2}" name="Question " dataDxfId="5"/>
    <tableColumn id="3" xr3:uid="{C6C96A4A-EB92-456D-A499-865BAB2F0675}" name="Type de Question" dataDxfId="4"/>
    <tableColumn id="4" xr3:uid="{66B6A1FA-2AE8-475F-974C-01D38E665B5C}" name="Correction" dataDxfId="3"/>
    <tableColumn id="5" xr3:uid="{488426D2-86CF-4C26-AB2E-83B36E720F73}" name="Type_de _Réponse" dataDxfId="2"/>
    <tableColumn id="6" xr3:uid="{EB7113A8-5C94-442C-8872-DD5F486137A9}" name="Reponse  " dataDxfId="1"/>
    <tableColumn id="7" xr3:uid="{8BFB4FF0-FF95-4457-80BC-0F15307F8ACE}" name="Image " dataDxfId="0"/>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CF25EA-2102-437F-9EDA-F7AA032C2337}">
  <dimension ref="A3:B16"/>
  <sheetViews>
    <sheetView workbookViewId="0">
      <selection activeCell="A3" sqref="A3"/>
    </sheetView>
  </sheetViews>
  <sheetFormatPr baseColWidth="10" defaultRowHeight="14.4" x14ac:dyDescent="0.3"/>
  <cols>
    <col min="1" max="1" width="21" bestFit="1" customWidth="1"/>
    <col min="2" max="2" width="12.6640625" bestFit="1" customWidth="1"/>
  </cols>
  <sheetData>
    <row r="3" spans="1:2" x14ac:dyDescent="0.3">
      <c r="A3" s="4" t="s">
        <v>1359</v>
      </c>
      <c r="B3" t="s">
        <v>1360</v>
      </c>
    </row>
    <row r="4" spans="1:2" x14ac:dyDescent="0.3">
      <c r="A4" s="5" t="s">
        <v>589</v>
      </c>
      <c r="B4">
        <v>56</v>
      </c>
    </row>
    <row r="5" spans="1:2" x14ac:dyDescent="0.3">
      <c r="A5" s="5" t="s">
        <v>720</v>
      </c>
      <c r="B5">
        <v>72</v>
      </c>
    </row>
    <row r="6" spans="1:2" x14ac:dyDescent="0.3">
      <c r="A6" s="5" t="s">
        <v>450</v>
      </c>
      <c r="B6">
        <v>32</v>
      </c>
    </row>
    <row r="7" spans="1:2" x14ac:dyDescent="0.3">
      <c r="A7" s="5" t="s">
        <v>1173</v>
      </c>
      <c r="B7">
        <v>32</v>
      </c>
    </row>
    <row r="8" spans="1:2" x14ac:dyDescent="0.3">
      <c r="A8" s="5" t="s">
        <v>55</v>
      </c>
      <c r="B8">
        <v>56</v>
      </c>
    </row>
    <row r="9" spans="1:2" x14ac:dyDescent="0.3">
      <c r="A9" s="5" t="s">
        <v>213</v>
      </c>
      <c r="B9">
        <v>56</v>
      </c>
    </row>
    <row r="10" spans="1:2" x14ac:dyDescent="0.3">
      <c r="A10" s="5" t="s">
        <v>1257</v>
      </c>
      <c r="B10">
        <v>32</v>
      </c>
    </row>
    <row r="11" spans="1:2" x14ac:dyDescent="0.3">
      <c r="A11" s="5" t="s">
        <v>639</v>
      </c>
      <c r="B11">
        <v>32</v>
      </c>
    </row>
    <row r="12" spans="1:2" x14ac:dyDescent="0.3">
      <c r="A12" s="5" t="s">
        <v>861</v>
      </c>
      <c r="B12">
        <v>40</v>
      </c>
    </row>
    <row r="13" spans="1:2" x14ac:dyDescent="0.3">
      <c r="A13" s="5" t="s">
        <v>8</v>
      </c>
      <c r="B13">
        <v>64</v>
      </c>
    </row>
    <row r="14" spans="1:2" x14ac:dyDescent="0.3">
      <c r="A14" s="5" t="s">
        <v>734</v>
      </c>
      <c r="B14">
        <v>40</v>
      </c>
    </row>
    <row r="15" spans="1:2" x14ac:dyDescent="0.3">
      <c r="A15" s="5" t="s">
        <v>364</v>
      </c>
      <c r="B15">
        <v>32</v>
      </c>
    </row>
    <row r="16" spans="1:2" x14ac:dyDescent="0.3">
      <c r="A16" s="5" t="s">
        <v>1361</v>
      </c>
      <c r="B16">
        <v>544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634979-91C5-4C02-83A7-F46BEEE617D3}">
  <dimension ref="A3:D15"/>
  <sheetViews>
    <sheetView tabSelected="1" workbookViewId="0">
      <selection activeCell="A8" sqref="A8"/>
    </sheetView>
  </sheetViews>
  <sheetFormatPr baseColWidth="10" defaultRowHeight="14.4" x14ac:dyDescent="0.3"/>
  <cols>
    <col min="1" max="1" width="19.5546875" bestFit="1" customWidth="1"/>
    <col min="2" max="2" width="12.6640625" bestFit="1" customWidth="1"/>
    <col min="3" max="3" width="59.109375" customWidth="1"/>
  </cols>
  <sheetData>
    <row r="3" spans="1:4" x14ac:dyDescent="0.3">
      <c r="A3" s="4" t="s">
        <v>1359</v>
      </c>
      <c r="B3" t="s">
        <v>1360</v>
      </c>
      <c r="C3" s="1" t="s">
        <v>1384</v>
      </c>
      <c r="D3" s="1" t="s">
        <v>1385</v>
      </c>
    </row>
    <row r="4" spans="1:4" x14ac:dyDescent="0.3">
      <c r="A4" s="13" t="s">
        <v>63</v>
      </c>
      <c r="B4">
        <v>204</v>
      </c>
      <c r="C4" s="1" t="s">
        <v>1362</v>
      </c>
      <c r="D4" s="1" t="s">
        <v>1386</v>
      </c>
    </row>
    <row r="5" spans="1:4" x14ac:dyDescent="0.3">
      <c r="A5" s="14" t="s">
        <v>84</v>
      </c>
      <c r="B5">
        <v>1</v>
      </c>
    </row>
    <row r="6" spans="1:4" x14ac:dyDescent="0.3">
      <c r="A6" s="14" t="s">
        <v>821</v>
      </c>
      <c r="B6">
        <v>5</v>
      </c>
      <c r="C6" s="1" t="s">
        <v>1363</v>
      </c>
      <c r="D6" s="1" t="s">
        <v>1387</v>
      </c>
    </row>
    <row r="7" spans="1:4" x14ac:dyDescent="0.3">
      <c r="A7" s="14" t="s">
        <v>10</v>
      </c>
      <c r="B7">
        <v>223</v>
      </c>
      <c r="C7" s="1" t="s">
        <v>1364</v>
      </c>
      <c r="D7" s="1" t="s">
        <v>1388</v>
      </c>
    </row>
    <row r="8" spans="1:4" x14ac:dyDescent="0.3">
      <c r="A8" s="5" t="s">
        <v>49</v>
      </c>
      <c r="B8">
        <v>12</v>
      </c>
      <c r="C8" s="1" t="s">
        <v>1377</v>
      </c>
      <c r="D8" s="1" t="s">
        <v>1389</v>
      </c>
    </row>
    <row r="9" spans="1:4" x14ac:dyDescent="0.3">
      <c r="A9" s="5" t="s">
        <v>591</v>
      </c>
      <c r="B9">
        <v>26</v>
      </c>
      <c r="C9" s="1" t="s">
        <v>1378</v>
      </c>
      <c r="D9" s="1" t="s">
        <v>1390</v>
      </c>
    </row>
    <row r="10" spans="1:4" x14ac:dyDescent="0.3">
      <c r="A10" s="5" t="s">
        <v>1254</v>
      </c>
      <c r="B10">
        <v>2</v>
      </c>
      <c r="C10" s="1" t="s">
        <v>1379</v>
      </c>
      <c r="D10" s="1" t="s">
        <v>1391</v>
      </c>
    </row>
    <row r="11" spans="1:4" x14ac:dyDescent="0.3">
      <c r="A11" s="14" t="s">
        <v>109</v>
      </c>
      <c r="B11">
        <v>43</v>
      </c>
      <c r="C11" s="1" t="s">
        <v>1380</v>
      </c>
      <c r="D11" s="1" t="s">
        <v>1392</v>
      </c>
    </row>
    <row r="12" spans="1:4" x14ac:dyDescent="0.3">
      <c r="A12" s="5" t="s">
        <v>800</v>
      </c>
      <c r="B12">
        <v>8</v>
      </c>
      <c r="C12" s="1" t="s">
        <v>1381</v>
      </c>
      <c r="D12" s="1" t="s">
        <v>1393</v>
      </c>
    </row>
    <row r="13" spans="1:4" x14ac:dyDescent="0.3">
      <c r="A13" s="5" t="s">
        <v>1131</v>
      </c>
      <c r="B13">
        <v>13</v>
      </c>
      <c r="C13" s="1" t="s">
        <v>1382</v>
      </c>
      <c r="D13" s="1" t="s">
        <v>1394</v>
      </c>
    </row>
    <row r="14" spans="1:4" x14ac:dyDescent="0.3">
      <c r="A14" s="5" t="s">
        <v>1118</v>
      </c>
      <c r="B14">
        <v>7</v>
      </c>
      <c r="C14" s="1" t="s">
        <v>1383</v>
      </c>
      <c r="D14" s="1" t="s">
        <v>1395</v>
      </c>
    </row>
    <row r="15" spans="1:4" x14ac:dyDescent="0.3">
      <c r="A15" s="5" t="s">
        <v>1361</v>
      </c>
      <c r="B15">
        <v>544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00"/>
  <sheetViews>
    <sheetView topLeftCell="A440" workbookViewId="0">
      <selection activeCell="A454" sqref="A454"/>
    </sheetView>
  </sheetViews>
  <sheetFormatPr baseColWidth="10" defaultColWidth="14.44140625" defaultRowHeight="15" customHeight="1" x14ac:dyDescent="0.3"/>
  <cols>
    <col min="1" max="1" width="8.88671875" style="1" customWidth="1"/>
    <col min="2" max="2" width="92.5546875" style="1" customWidth="1"/>
    <col min="3" max="3" width="40.88671875" style="1" customWidth="1"/>
    <col min="4" max="4" width="85.44140625" style="1" customWidth="1"/>
    <col min="5" max="5" width="25.33203125" style="1" customWidth="1"/>
    <col min="6" max="6" width="53.5546875" style="1" customWidth="1"/>
    <col min="7" max="26" width="8.88671875" style="1" customWidth="1"/>
    <col min="27" max="16384" width="14.44140625" style="1"/>
  </cols>
  <sheetData>
    <row r="1" spans="1:7" ht="14.25" customHeight="1" x14ac:dyDescent="0.3">
      <c r="A1" s="6" t="s">
        <v>0</v>
      </c>
      <c r="B1" s="6" t="s">
        <v>1</v>
      </c>
      <c r="C1" s="6" t="s">
        <v>2</v>
      </c>
      <c r="D1" s="6" t="s">
        <v>3</v>
      </c>
      <c r="E1" s="6" t="s">
        <v>4</v>
      </c>
      <c r="F1" s="6" t="s">
        <v>5</v>
      </c>
      <c r="G1" s="6" t="s">
        <v>6</v>
      </c>
    </row>
    <row r="2" spans="1:7" ht="14.25" customHeight="1" x14ac:dyDescent="0.3">
      <c r="A2" s="6">
        <v>1</v>
      </c>
      <c r="B2" s="6" t="s">
        <v>7</v>
      </c>
      <c r="C2" s="6" t="s">
        <v>8</v>
      </c>
      <c r="D2" s="6" t="s">
        <v>9</v>
      </c>
      <c r="E2" s="6" t="s">
        <v>10</v>
      </c>
      <c r="F2" s="6" t="s">
        <v>11</v>
      </c>
      <c r="G2" s="6"/>
    </row>
    <row r="3" spans="1:7" ht="14.25" customHeight="1" x14ac:dyDescent="0.3">
      <c r="A3" s="6">
        <v>2</v>
      </c>
      <c r="B3" s="6" t="s">
        <v>12</v>
      </c>
      <c r="C3" s="6" t="s">
        <v>8</v>
      </c>
      <c r="D3" s="6" t="s">
        <v>13</v>
      </c>
      <c r="E3" s="6" t="s">
        <v>10</v>
      </c>
      <c r="F3" s="6" t="s">
        <v>14</v>
      </c>
      <c r="G3" s="6"/>
    </row>
    <row r="4" spans="1:7" ht="14.25" customHeight="1" x14ac:dyDescent="0.3">
      <c r="A4" s="6">
        <v>3</v>
      </c>
      <c r="B4" s="7" t="s">
        <v>15</v>
      </c>
      <c r="C4" s="6" t="s">
        <v>8</v>
      </c>
      <c r="D4" s="7" t="s">
        <v>16</v>
      </c>
      <c r="E4" s="6" t="s">
        <v>10</v>
      </c>
      <c r="F4" s="7" t="s">
        <v>17</v>
      </c>
      <c r="G4" s="6"/>
    </row>
    <row r="5" spans="1:7" ht="14.25" customHeight="1" x14ac:dyDescent="0.3">
      <c r="A5" s="6">
        <v>4</v>
      </c>
      <c r="B5" s="6" t="s">
        <v>18</v>
      </c>
      <c r="C5" s="6" t="s">
        <v>8</v>
      </c>
      <c r="D5" s="7" t="s">
        <v>19</v>
      </c>
      <c r="E5" s="6" t="s">
        <v>10</v>
      </c>
      <c r="F5" s="6" t="s">
        <v>20</v>
      </c>
      <c r="G5" s="6"/>
    </row>
    <row r="6" spans="1:7" ht="14.25" customHeight="1" x14ac:dyDescent="0.3">
      <c r="A6" s="6">
        <v>5</v>
      </c>
      <c r="B6" s="6" t="s">
        <v>21</v>
      </c>
      <c r="C6" s="6" t="s">
        <v>8</v>
      </c>
      <c r="D6" s="6" t="s">
        <v>22</v>
      </c>
      <c r="E6" s="6" t="s">
        <v>10</v>
      </c>
      <c r="F6" s="6" t="s">
        <v>23</v>
      </c>
      <c r="G6" s="6"/>
    </row>
    <row r="7" spans="1:7" ht="14.25" customHeight="1" x14ac:dyDescent="0.3">
      <c r="A7" s="6">
        <v>6</v>
      </c>
      <c r="B7" s="7" t="s">
        <v>24</v>
      </c>
      <c r="C7" s="6" t="s">
        <v>8</v>
      </c>
      <c r="D7" s="7" t="s">
        <v>25</v>
      </c>
      <c r="E7" s="6" t="s">
        <v>10</v>
      </c>
      <c r="F7" s="6" t="s">
        <v>26</v>
      </c>
      <c r="G7" s="6"/>
    </row>
    <row r="8" spans="1:7" ht="14.25" customHeight="1" x14ac:dyDescent="0.3">
      <c r="A8" s="6">
        <v>7</v>
      </c>
      <c r="B8" s="6" t="s">
        <v>27</v>
      </c>
      <c r="C8" s="6" t="s">
        <v>8</v>
      </c>
      <c r="D8" s="7" t="s">
        <v>28</v>
      </c>
      <c r="E8" s="6" t="s">
        <v>10</v>
      </c>
      <c r="F8" s="6" t="s">
        <v>29</v>
      </c>
      <c r="G8" s="6"/>
    </row>
    <row r="9" spans="1:7" ht="14.25" customHeight="1" x14ac:dyDescent="0.3">
      <c r="A9" s="6">
        <v>8</v>
      </c>
      <c r="B9" s="6" t="s">
        <v>30</v>
      </c>
      <c r="C9" s="6" t="s">
        <v>8</v>
      </c>
      <c r="D9" s="7" t="s">
        <v>31</v>
      </c>
      <c r="E9" s="6" t="s">
        <v>10</v>
      </c>
      <c r="F9" s="6" t="s">
        <v>32</v>
      </c>
      <c r="G9" s="6"/>
    </row>
    <row r="10" spans="1:7" ht="14.25" customHeight="1" x14ac:dyDescent="0.3">
      <c r="A10" s="6">
        <v>9</v>
      </c>
      <c r="B10" s="6" t="s">
        <v>33</v>
      </c>
      <c r="C10" s="6" t="s">
        <v>8</v>
      </c>
      <c r="D10" s="6" t="s">
        <v>34</v>
      </c>
      <c r="E10" s="6" t="s">
        <v>10</v>
      </c>
      <c r="F10" s="6" t="s">
        <v>35</v>
      </c>
      <c r="G10" s="6"/>
    </row>
    <row r="11" spans="1:7" ht="14.25" customHeight="1" x14ac:dyDescent="0.3">
      <c r="A11" s="6">
        <v>10</v>
      </c>
      <c r="B11" s="7" t="s">
        <v>36</v>
      </c>
      <c r="C11" s="6" t="s">
        <v>8</v>
      </c>
      <c r="D11" s="6" t="s">
        <v>37</v>
      </c>
      <c r="E11" s="6" t="s">
        <v>10</v>
      </c>
      <c r="F11" s="6" t="s">
        <v>38</v>
      </c>
      <c r="G11" s="6"/>
    </row>
    <row r="12" spans="1:7" ht="14.25" customHeight="1" x14ac:dyDescent="0.3">
      <c r="A12" s="6">
        <v>11</v>
      </c>
      <c r="B12" s="7" t="s">
        <v>39</v>
      </c>
      <c r="C12" s="6" t="s">
        <v>8</v>
      </c>
      <c r="D12" s="6" t="s">
        <v>40</v>
      </c>
      <c r="E12" s="6" t="s">
        <v>10</v>
      </c>
      <c r="F12" s="6">
        <v>1.2</v>
      </c>
      <c r="G12" s="6"/>
    </row>
    <row r="13" spans="1:7" ht="14.25" customHeight="1" x14ac:dyDescent="0.3">
      <c r="A13" s="6">
        <v>12</v>
      </c>
      <c r="B13" s="6" t="s">
        <v>41</v>
      </c>
      <c r="C13" s="6" t="s">
        <v>8</v>
      </c>
      <c r="D13" s="6" t="s">
        <v>42</v>
      </c>
      <c r="E13" s="6" t="s">
        <v>10</v>
      </c>
      <c r="F13" s="6">
        <v>0.4</v>
      </c>
      <c r="G13" s="6"/>
    </row>
    <row r="14" spans="1:7" ht="14.25" customHeight="1" x14ac:dyDescent="0.3">
      <c r="A14" s="6">
        <v>13</v>
      </c>
      <c r="B14" s="6" t="s">
        <v>43</v>
      </c>
      <c r="C14" s="6" t="s">
        <v>8</v>
      </c>
      <c r="D14" s="6" t="s">
        <v>44</v>
      </c>
      <c r="E14" s="6" t="s">
        <v>10</v>
      </c>
      <c r="F14" s="6">
        <v>1.65</v>
      </c>
      <c r="G14" s="6"/>
    </row>
    <row r="15" spans="1:7" ht="14.25" customHeight="1" x14ac:dyDescent="0.3">
      <c r="A15" s="6">
        <v>14</v>
      </c>
      <c r="B15" s="6" t="s">
        <v>45</v>
      </c>
      <c r="C15" s="6" t="s">
        <v>8</v>
      </c>
      <c r="D15" s="6" t="s">
        <v>46</v>
      </c>
      <c r="E15" s="6" t="s">
        <v>10</v>
      </c>
      <c r="F15" s="6">
        <v>0.65</v>
      </c>
      <c r="G15" s="6"/>
    </row>
    <row r="16" spans="1:7" ht="14.25" customHeight="1" x14ac:dyDescent="0.3">
      <c r="A16" s="6">
        <v>15</v>
      </c>
      <c r="B16" s="6" t="s">
        <v>47</v>
      </c>
      <c r="C16" s="6" t="s">
        <v>8</v>
      </c>
      <c r="D16" s="6" t="s">
        <v>48</v>
      </c>
      <c r="E16" s="6" t="s">
        <v>49</v>
      </c>
      <c r="F16" s="6" t="s">
        <v>50</v>
      </c>
      <c r="G16" s="6"/>
    </row>
    <row r="17" spans="1:7" ht="14.25" customHeight="1" x14ac:dyDescent="0.3">
      <c r="A17" s="6">
        <v>16</v>
      </c>
      <c r="B17" s="6" t="s">
        <v>51</v>
      </c>
      <c r="C17" s="6" t="s">
        <v>8</v>
      </c>
      <c r="D17" s="6" t="s">
        <v>52</v>
      </c>
      <c r="E17" s="6" t="s">
        <v>49</v>
      </c>
      <c r="F17" s="6" t="s">
        <v>53</v>
      </c>
      <c r="G17" s="6"/>
    </row>
    <row r="18" spans="1:7" ht="14.25" customHeight="1" x14ac:dyDescent="0.3">
      <c r="A18" s="6">
        <v>17</v>
      </c>
      <c r="B18" s="6" t="s">
        <v>54</v>
      </c>
      <c r="C18" s="6" t="s">
        <v>55</v>
      </c>
      <c r="D18" s="6" t="s">
        <v>56</v>
      </c>
      <c r="E18" s="6" t="s">
        <v>10</v>
      </c>
      <c r="F18" s="6" t="s">
        <v>57</v>
      </c>
      <c r="G18" s="6"/>
    </row>
    <row r="19" spans="1:7" ht="14.25" customHeight="1" x14ac:dyDescent="0.3">
      <c r="A19" s="6">
        <v>18</v>
      </c>
      <c r="B19" s="6" t="s">
        <v>58</v>
      </c>
      <c r="C19" s="6" t="s">
        <v>55</v>
      </c>
      <c r="D19" s="6" t="s">
        <v>59</v>
      </c>
      <c r="E19" s="6" t="s">
        <v>10</v>
      </c>
      <c r="F19" s="6" t="s">
        <v>60</v>
      </c>
      <c r="G19" s="6"/>
    </row>
    <row r="20" spans="1:7" ht="14.25" customHeight="1" x14ac:dyDescent="0.3">
      <c r="A20" s="6">
        <v>19</v>
      </c>
      <c r="B20" s="6" t="s">
        <v>61</v>
      </c>
      <c r="C20" s="6" t="s">
        <v>55</v>
      </c>
      <c r="D20" s="6" t="s">
        <v>62</v>
      </c>
      <c r="E20" s="6" t="s">
        <v>63</v>
      </c>
      <c r="F20" s="6" t="s">
        <v>64</v>
      </c>
      <c r="G20" s="6"/>
    </row>
    <row r="21" spans="1:7" ht="14.25" customHeight="1" x14ac:dyDescent="0.3">
      <c r="A21" s="6">
        <v>20</v>
      </c>
      <c r="B21" s="6" t="s">
        <v>65</v>
      </c>
      <c r="C21" s="6" t="s">
        <v>55</v>
      </c>
      <c r="D21" s="6" t="s">
        <v>66</v>
      </c>
      <c r="E21" s="6" t="s">
        <v>63</v>
      </c>
      <c r="F21" s="6" t="s">
        <v>67</v>
      </c>
      <c r="G21" s="6"/>
    </row>
    <row r="22" spans="1:7" ht="14.25" customHeight="1" x14ac:dyDescent="0.3">
      <c r="A22" s="6">
        <v>21</v>
      </c>
      <c r="B22" s="6" t="s">
        <v>68</v>
      </c>
      <c r="C22" s="6" t="s">
        <v>55</v>
      </c>
      <c r="D22" s="6" t="s">
        <v>69</v>
      </c>
      <c r="E22" s="6" t="s">
        <v>63</v>
      </c>
      <c r="F22" s="6" t="s">
        <v>70</v>
      </c>
      <c r="G22" s="6"/>
    </row>
    <row r="23" spans="1:7" ht="14.25" customHeight="1" x14ac:dyDescent="0.3">
      <c r="A23" s="6">
        <v>22</v>
      </c>
      <c r="B23" s="6" t="s">
        <v>71</v>
      </c>
      <c r="C23" s="6" t="s">
        <v>55</v>
      </c>
      <c r="D23" s="6" t="s">
        <v>72</v>
      </c>
      <c r="E23" s="6" t="s">
        <v>63</v>
      </c>
      <c r="F23" s="6" t="s">
        <v>73</v>
      </c>
      <c r="G23" s="6"/>
    </row>
    <row r="24" spans="1:7" ht="14.25" customHeight="1" x14ac:dyDescent="0.3">
      <c r="A24" s="6">
        <v>23</v>
      </c>
      <c r="B24" s="6" t="s">
        <v>74</v>
      </c>
      <c r="C24" s="6" t="s">
        <v>55</v>
      </c>
      <c r="D24" s="6" t="s">
        <v>75</v>
      </c>
      <c r="E24" s="6" t="s">
        <v>10</v>
      </c>
      <c r="F24" s="6" t="s">
        <v>60</v>
      </c>
      <c r="G24" s="6"/>
    </row>
    <row r="25" spans="1:7" ht="14.25" customHeight="1" x14ac:dyDescent="0.3">
      <c r="A25" s="6">
        <v>24</v>
      </c>
      <c r="B25" s="7" t="s">
        <v>76</v>
      </c>
      <c r="C25" s="6" t="s">
        <v>55</v>
      </c>
      <c r="D25" s="6" t="s">
        <v>77</v>
      </c>
      <c r="E25" s="6" t="s">
        <v>63</v>
      </c>
      <c r="F25" s="6" t="s">
        <v>78</v>
      </c>
      <c r="G25" s="6"/>
    </row>
    <row r="26" spans="1:7" ht="14.25" customHeight="1" x14ac:dyDescent="0.3">
      <c r="A26" s="6">
        <v>25</v>
      </c>
      <c r="B26" s="7" t="s">
        <v>79</v>
      </c>
      <c r="C26" s="6" t="s">
        <v>55</v>
      </c>
      <c r="D26" s="6" t="s">
        <v>80</v>
      </c>
      <c r="E26" s="6" t="s">
        <v>63</v>
      </c>
      <c r="F26" s="6" t="s">
        <v>81</v>
      </c>
      <c r="G26" s="6"/>
    </row>
    <row r="27" spans="1:7" ht="14.25" customHeight="1" x14ac:dyDescent="0.3">
      <c r="A27" s="6">
        <v>26</v>
      </c>
      <c r="B27" s="6" t="s">
        <v>82</v>
      </c>
      <c r="C27" s="6" t="s">
        <v>55</v>
      </c>
      <c r="D27" s="6" t="s">
        <v>83</v>
      </c>
      <c r="E27" s="6" t="s">
        <v>84</v>
      </c>
      <c r="F27" s="6" t="s">
        <v>85</v>
      </c>
      <c r="G27" s="6"/>
    </row>
    <row r="28" spans="1:7" ht="14.25" customHeight="1" x14ac:dyDescent="0.3">
      <c r="A28" s="6">
        <v>27</v>
      </c>
      <c r="B28" s="6" t="s">
        <v>86</v>
      </c>
      <c r="C28" s="6" t="s">
        <v>55</v>
      </c>
      <c r="D28" s="6" t="s">
        <v>87</v>
      </c>
      <c r="E28" s="6" t="s">
        <v>10</v>
      </c>
      <c r="F28" s="6" t="s">
        <v>88</v>
      </c>
      <c r="G28" s="6"/>
    </row>
    <row r="29" spans="1:7" ht="14.25" customHeight="1" x14ac:dyDescent="0.3">
      <c r="A29" s="6">
        <v>28</v>
      </c>
      <c r="B29" s="6" t="s">
        <v>89</v>
      </c>
      <c r="C29" s="6" t="s">
        <v>55</v>
      </c>
      <c r="D29" s="6" t="s">
        <v>90</v>
      </c>
      <c r="E29" s="6" t="s">
        <v>63</v>
      </c>
      <c r="F29" s="6" t="s">
        <v>91</v>
      </c>
      <c r="G29" s="6"/>
    </row>
    <row r="30" spans="1:7" ht="14.25" customHeight="1" x14ac:dyDescent="0.3">
      <c r="A30" s="6">
        <v>29</v>
      </c>
      <c r="B30" s="7" t="s">
        <v>92</v>
      </c>
      <c r="C30" s="6" t="s">
        <v>55</v>
      </c>
      <c r="D30" s="6" t="s">
        <v>93</v>
      </c>
      <c r="E30" s="6" t="s">
        <v>63</v>
      </c>
      <c r="F30" s="6" t="s">
        <v>94</v>
      </c>
      <c r="G30" s="6"/>
    </row>
    <row r="31" spans="1:7" ht="14.25" customHeight="1" x14ac:dyDescent="0.3">
      <c r="A31" s="6">
        <v>30</v>
      </c>
      <c r="B31" s="7" t="s">
        <v>95</v>
      </c>
      <c r="C31" s="6" t="s">
        <v>55</v>
      </c>
      <c r="D31" s="6" t="s">
        <v>96</v>
      </c>
      <c r="E31" s="6" t="s">
        <v>63</v>
      </c>
      <c r="F31" s="6" t="s">
        <v>97</v>
      </c>
      <c r="G31" s="6"/>
    </row>
    <row r="32" spans="1:7" ht="14.25" customHeight="1" x14ac:dyDescent="0.3">
      <c r="A32" s="6">
        <v>31</v>
      </c>
      <c r="B32" s="6" t="s">
        <v>98</v>
      </c>
      <c r="C32" s="6" t="s">
        <v>55</v>
      </c>
      <c r="D32" s="6" t="s">
        <v>99</v>
      </c>
      <c r="E32" s="6" t="s">
        <v>63</v>
      </c>
      <c r="F32" s="6" t="s">
        <v>100</v>
      </c>
      <c r="G32" s="6"/>
    </row>
    <row r="33" spans="1:7" ht="14.25" customHeight="1" x14ac:dyDescent="0.3">
      <c r="A33" s="6">
        <v>32</v>
      </c>
      <c r="B33" s="6" t="s">
        <v>101</v>
      </c>
      <c r="C33" s="6" t="s">
        <v>55</v>
      </c>
      <c r="D33" s="6" t="s">
        <v>102</v>
      </c>
      <c r="E33" s="6" t="s">
        <v>63</v>
      </c>
      <c r="F33" s="6" t="s">
        <v>103</v>
      </c>
      <c r="G33" s="6"/>
    </row>
    <row r="34" spans="1:7" ht="14.25" customHeight="1" x14ac:dyDescent="0.3">
      <c r="A34" s="6">
        <v>33</v>
      </c>
      <c r="B34" s="6" t="s">
        <v>104</v>
      </c>
      <c r="C34" s="6" t="s">
        <v>55</v>
      </c>
      <c r="D34" s="7" t="s">
        <v>105</v>
      </c>
      <c r="E34" s="6" t="s">
        <v>63</v>
      </c>
      <c r="F34" s="6" t="s">
        <v>106</v>
      </c>
      <c r="G34" s="6"/>
    </row>
    <row r="35" spans="1:7" ht="14.25" customHeight="1" x14ac:dyDescent="0.3">
      <c r="A35" s="6">
        <v>34</v>
      </c>
      <c r="B35" s="7" t="s">
        <v>107</v>
      </c>
      <c r="C35" s="6" t="s">
        <v>55</v>
      </c>
      <c r="D35" s="6" t="s">
        <v>108</v>
      </c>
      <c r="E35" s="6" t="s">
        <v>109</v>
      </c>
      <c r="F35" s="6" t="s">
        <v>110</v>
      </c>
      <c r="G35" s="6"/>
    </row>
    <row r="36" spans="1:7" ht="14.25" customHeight="1" x14ac:dyDescent="0.3">
      <c r="A36" s="6">
        <v>35</v>
      </c>
      <c r="B36" s="6" t="s">
        <v>111</v>
      </c>
      <c r="C36" s="6" t="s">
        <v>55</v>
      </c>
      <c r="D36" s="6" t="s">
        <v>112</v>
      </c>
      <c r="E36" s="6" t="s">
        <v>63</v>
      </c>
      <c r="F36" s="6" t="s">
        <v>113</v>
      </c>
      <c r="G36" s="6"/>
    </row>
    <row r="37" spans="1:7" ht="14.25" customHeight="1" x14ac:dyDescent="0.3">
      <c r="A37" s="6">
        <v>36</v>
      </c>
      <c r="B37" s="6" t="s">
        <v>114</v>
      </c>
      <c r="C37" s="6" t="s">
        <v>55</v>
      </c>
      <c r="D37" s="6" t="s">
        <v>115</v>
      </c>
      <c r="E37" s="6" t="s">
        <v>63</v>
      </c>
      <c r="F37" s="6" t="s">
        <v>116</v>
      </c>
      <c r="G37" s="6"/>
    </row>
    <row r="38" spans="1:7" ht="14.25" customHeight="1" x14ac:dyDescent="0.3">
      <c r="A38" s="6">
        <v>37</v>
      </c>
      <c r="B38" s="6" t="s">
        <v>117</v>
      </c>
      <c r="C38" s="6" t="s">
        <v>55</v>
      </c>
      <c r="D38" s="6" t="s">
        <v>118</v>
      </c>
      <c r="E38" s="6" t="s">
        <v>63</v>
      </c>
      <c r="F38" s="8" t="s">
        <v>119</v>
      </c>
      <c r="G38" s="6"/>
    </row>
    <row r="39" spans="1:7" ht="14.25" customHeight="1" x14ac:dyDescent="0.3">
      <c r="A39" s="6">
        <v>38</v>
      </c>
      <c r="B39" s="6" t="s">
        <v>120</v>
      </c>
      <c r="C39" s="6" t="s">
        <v>55</v>
      </c>
      <c r="D39" s="6" t="s">
        <v>121</v>
      </c>
      <c r="E39" s="6" t="s">
        <v>63</v>
      </c>
      <c r="F39" s="8" t="s">
        <v>122</v>
      </c>
      <c r="G39" s="6"/>
    </row>
    <row r="40" spans="1:7" ht="14.25" customHeight="1" x14ac:dyDescent="0.3">
      <c r="A40" s="6">
        <v>39</v>
      </c>
      <c r="B40" s="6" t="s">
        <v>123</v>
      </c>
      <c r="C40" s="6" t="s">
        <v>55</v>
      </c>
      <c r="D40" s="6" t="s">
        <v>124</v>
      </c>
      <c r="E40" s="6" t="s">
        <v>63</v>
      </c>
      <c r="F40" s="6" t="s">
        <v>125</v>
      </c>
      <c r="G40" s="6"/>
    </row>
    <row r="41" spans="1:7" ht="14.25" customHeight="1" x14ac:dyDescent="0.3">
      <c r="A41" s="6">
        <v>40</v>
      </c>
      <c r="B41" s="6" t="s">
        <v>126</v>
      </c>
      <c r="C41" s="6" t="s">
        <v>55</v>
      </c>
      <c r="D41" s="6" t="s">
        <v>127</v>
      </c>
      <c r="E41" s="6" t="s">
        <v>63</v>
      </c>
      <c r="F41" s="6" t="s">
        <v>128</v>
      </c>
      <c r="G41" s="6"/>
    </row>
    <row r="42" spans="1:7" ht="14.25" customHeight="1" x14ac:dyDescent="0.3">
      <c r="A42" s="6">
        <v>41</v>
      </c>
      <c r="B42" s="6" t="s">
        <v>129</v>
      </c>
      <c r="C42" s="6" t="s">
        <v>55</v>
      </c>
      <c r="D42" s="6" t="s">
        <v>130</v>
      </c>
      <c r="E42" s="6" t="s">
        <v>63</v>
      </c>
      <c r="F42" s="6" t="s">
        <v>131</v>
      </c>
      <c r="G42" s="6"/>
    </row>
    <row r="43" spans="1:7" ht="14.25" customHeight="1" x14ac:dyDescent="0.3">
      <c r="A43" s="6">
        <v>42</v>
      </c>
      <c r="B43" s="6" t="s">
        <v>132</v>
      </c>
      <c r="C43" s="6" t="s">
        <v>55</v>
      </c>
      <c r="D43" s="6" t="s">
        <v>133</v>
      </c>
      <c r="E43" s="6" t="s">
        <v>63</v>
      </c>
      <c r="F43" s="6" t="s">
        <v>134</v>
      </c>
      <c r="G43" s="6"/>
    </row>
    <row r="44" spans="1:7" ht="14.25" customHeight="1" x14ac:dyDescent="0.3">
      <c r="A44" s="6">
        <v>43</v>
      </c>
      <c r="B44" s="6" t="s">
        <v>135</v>
      </c>
      <c r="C44" s="6" t="s">
        <v>55</v>
      </c>
      <c r="D44" s="6" t="s">
        <v>136</v>
      </c>
      <c r="E44" s="6" t="s">
        <v>63</v>
      </c>
      <c r="F44" s="6" t="s">
        <v>137</v>
      </c>
      <c r="G44" s="6"/>
    </row>
    <row r="45" spans="1:7" ht="14.25" customHeight="1" x14ac:dyDescent="0.3">
      <c r="A45" s="6">
        <v>44</v>
      </c>
      <c r="B45" s="6" t="s">
        <v>138</v>
      </c>
      <c r="C45" s="6" t="s">
        <v>55</v>
      </c>
      <c r="D45" s="6" t="s">
        <v>139</v>
      </c>
      <c r="E45" s="6" t="s">
        <v>63</v>
      </c>
      <c r="F45" s="6" t="s">
        <v>140</v>
      </c>
      <c r="G45" s="6"/>
    </row>
    <row r="46" spans="1:7" ht="14.25" customHeight="1" x14ac:dyDescent="0.3">
      <c r="A46" s="6">
        <v>45</v>
      </c>
      <c r="B46" s="6" t="s">
        <v>141</v>
      </c>
      <c r="C46" s="6" t="s">
        <v>55</v>
      </c>
      <c r="D46" s="6" t="s">
        <v>142</v>
      </c>
      <c r="E46" s="6" t="s">
        <v>63</v>
      </c>
      <c r="F46" s="6" t="s">
        <v>143</v>
      </c>
      <c r="G46" s="6"/>
    </row>
    <row r="47" spans="1:7" ht="14.25" customHeight="1" x14ac:dyDescent="0.3">
      <c r="A47" s="6">
        <v>46</v>
      </c>
      <c r="B47" s="6" t="s">
        <v>144</v>
      </c>
      <c r="C47" s="6" t="s">
        <v>55</v>
      </c>
      <c r="D47" s="6" t="s">
        <v>145</v>
      </c>
      <c r="E47" s="6" t="s">
        <v>63</v>
      </c>
      <c r="F47" s="6" t="s">
        <v>146</v>
      </c>
      <c r="G47" s="6"/>
    </row>
    <row r="48" spans="1:7" ht="14.25" customHeight="1" x14ac:dyDescent="0.3">
      <c r="A48" s="6">
        <v>47</v>
      </c>
      <c r="B48" s="6" t="s">
        <v>147</v>
      </c>
      <c r="C48" s="6" t="s">
        <v>55</v>
      </c>
      <c r="D48" s="6" t="s">
        <v>148</v>
      </c>
      <c r="E48" s="6" t="s">
        <v>63</v>
      </c>
      <c r="F48" s="6" t="s">
        <v>149</v>
      </c>
      <c r="G48" s="6"/>
    </row>
    <row r="49" spans="1:7" ht="14.25" customHeight="1" x14ac:dyDescent="0.3">
      <c r="A49" s="6">
        <v>48</v>
      </c>
      <c r="B49" s="6" t="s">
        <v>150</v>
      </c>
      <c r="C49" s="6" t="s">
        <v>55</v>
      </c>
      <c r="D49" s="6" t="s">
        <v>151</v>
      </c>
      <c r="E49" s="6" t="s">
        <v>63</v>
      </c>
      <c r="F49" s="6" t="s">
        <v>152</v>
      </c>
      <c r="G49" s="6"/>
    </row>
    <row r="50" spans="1:7" ht="14.25" customHeight="1" x14ac:dyDescent="0.3">
      <c r="A50" s="6">
        <v>49</v>
      </c>
      <c r="B50" s="6" t="s">
        <v>153</v>
      </c>
      <c r="C50" s="6" t="s">
        <v>55</v>
      </c>
      <c r="D50" s="6" t="s">
        <v>154</v>
      </c>
      <c r="E50" s="6" t="s">
        <v>63</v>
      </c>
      <c r="F50" s="6" t="s">
        <v>155</v>
      </c>
      <c r="G50" s="6" t="s">
        <v>156</v>
      </c>
    </row>
    <row r="51" spans="1:7" ht="14.25" customHeight="1" x14ac:dyDescent="0.3">
      <c r="A51" s="6">
        <v>50</v>
      </c>
      <c r="B51" s="6" t="s">
        <v>157</v>
      </c>
      <c r="C51" s="6" t="s">
        <v>55</v>
      </c>
      <c r="D51" s="6" t="s">
        <v>158</v>
      </c>
      <c r="E51" s="6" t="s">
        <v>63</v>
      </c>
      <c r="F51" s="6" t="s">
        <v>159</v>
      </c>
      <c r="G51" s="6" t="s">
        <v>156</v>
      </c>
    </row>
    <row r="52" spans="1:7" ht="14.25" customHeight="1" x14ac:dyDescent="0.3">
      <c r="A52" s="6">
        <v>51</v>
      </c>
      <c r="B52" s="6" t="s">
        <v>160</v>
      </c>
      <c r="C52" s="6" t="s">
        <v>55</v>
      </c>
      <c r="D52" s="6" t="s">
        <v>161</v>
      </c>
      <c r="E52" s="6" t="s">
        <v>109</v>
      </c>
      <c r="F52" s="6" t="s">
        <v>110</v>
      </c>
      <c r="G52" s="6" t="s">
        <v>156</v>
      </c>
    </row>
    <row r="53" spans="1:7" ht="14.25" customHeight="1" x14ac:dyDescent="0.3">
      <c r="A53" s="6">
        <v>52</v>
      </c>
      <c r="B53" s="6" t="s">
        <v>160</v>
      </c>
      <c r="C53" s="6" t="s">
        <v>55</v>
      </c>
      <c r="D53" s="6" t="s">
        <v>162</v>
      </c>
      <c r="E53" s="6" t="s">
        <v>109</v>
      </c>
      <c r="F53" s="6" t="s">
        <v>163</v>
      </c>
      <c r="G53" s="6" t="s">
        <v>156</v>
      </c>
    </row>
    <row r="54" spans="1:7" ht="14.25" customHeight="1" x14ac:dyDescent="0.3">
      <c r="A54" s="6">
        <v>53</v>
      </c>
      <c r="B54" s="6" t="s">
        <v>164</v>
      </c>
      <c r="C54" s="6" t="s">
        <v>55</v>
      </c>
      <c r="D54" s="6" t="s">
        <v>165</v>
      </c>
      <c r="E54" s="6" t="s">
        <v>109</v>
      </c>
      <c r="F54" s="6" t="s">
        <v>110</v>
      </c>
      <c r="G54" s="6" t="s">
        <v>156</v>
      </c>
    </row>
    <row r="55" spans="1:7" ht="14.25" customHeight="1" x14ac:dyDescent="0.3">
      <c r="A55" s="6">
        <v>54</v>
      </c>
      <c r="B55" s="6" t="s">
        <v>164</v>
      </c>
      <c r="C55" s="6" t="s">
        <v>55</v>
      </c>
      <c r="D55" s="6" t="s">
        <v>166</v>
      </c>
      <c r="E55" s="6" t="s">
        <v>109</v>
      </c>
      <c r="F55" s="6" t="s">
        <v>163</v>
      </c>
      <c r="G55" s="6" t="s">
        <v>156</v>
      </c>
    </row>
    <row r="56" spans="1:7" ht="14.25" customHeight="1" x14ac:dyDescent="0.3">
      <c r="A56" s="6">
        <v>55</v>
      </c>
      <c r="B56" s="6" t="s">
        <v>167</v>
      </c>
      <c r="C56" s="6" t="s">
        <v>55</v>
      </c>
      <c r="D56" s="6" t="s">
        <v>168</v>
      </c>
      <c r="E56" s="6" t="s">
        <v>63</v>
      </c>
      <c r="F56" s="6" t="s">
        <v>169</v>
      </c>
      <c r="G56" s="6"/>
    </row>
    <row r="57" spans="1:7" ht="14.25" customHeight="1" x14ac:dyDescent="0.3">
      <c r="A57" s="6">
        <v>56</v>
      </c>
      <c r="B57" s="6" t="s">
        <v>170</v>
      </c>
      <c r="C57" s="6" t="s">
        <v>55</v>
      </c>
      <c r="D57" s="6" t="s">
        <v>171</v>
      </c>
      <c r="E57" s="6" t="s">
        <v>63</v>
      </c>
      <c r="F57" s="8" t="s">
        <v>172</v>
      </c>
      <c r="G57" s="6"/>
    </row>
    <row r="58" spans="1:7" ht="14.25" customHeight="1" x14ac:dyDescent="0.3">
      <c r="A58" s="6">
        <v>65</v>
      </c>
      <c r="B58" s="6" t="s">
        <v>173</v>
      </c>
      <c r="C58" s="6" t="s">
        <v>55</v>
      </c>
      <c r="D58" s="6" t="s">
        <v>174</v>
      </c>
      <c r="E58" s="6" t="s">
        <v>10</v>
      </c>
      <c r="F58" s="6">
        <v>3.6</v>
      </c>
      <c r="G58" s="6" t="s">
        <v>156</v>
      </c>
    </row>
    <row r="59" spans="1:7" ht="14.25" customHeight="1" x14ac:dyDescent="0.3">
      <c r="A59" s="6">
        <v>66</v>
      </c>
      <c r="B59" s="6" t="s">
        <v>175</v>
      </c>
      <c r="C59" s="6" t="s">
        <v>55</v>
      </c>
      <c r="D59" s="6" t="s">
        <v>176</v>
      </c>
      <c r="E59" s="6" t="s">
        <v>10</v>
      </c>
      <c r="F59" s="6">
        <v>2.2000000000000002</v>
      </c>
      <c r="G59" s="6" t="s">
        <v>156</v>
      </c>
    </row>
    <row r="60" spans="1:7" ht="14.25" customHeight="1" x14ac:dyDescent="0.3">
      <c r="A60" s="6">
        <v>67</v>
      </c>
      <c r="B60" s="6" t="s">
        <v>177</v>
      </c>
      <c r="C60" s="6" t="s">
        <v>55</v>
      </c>
      <c r="D60" s="6" t="s">
        <v>178</v>
      </c>
      <c r="E60" s="6" t="s">
        <v>10</v>
      </c>
      <c r="F60" s="6">
        <v>2.1</v>
      </c>
      <c r="G60" s="6" t="s">
        <v>156</v>
      </c>
    </row>
    <row r="61" spans="1:7" ht="14.25" customHeight="1" x14ac:dyDescent="0.3">
      <c r="A61" s="6">
        <v>68</v>
      </c>
      <c r="B61" s="6" t="s">
        <v>179</v>
      </c>
      <c r="C61" s="6" t="s">
        <v>55</v>
      </c>
      <c r="D61" s="6" t="s">
        <v>180</v>
      </c>
      <c r="E61" s="6" t="s">
        <v>10</v>
      </c>
      <c r="F61" s="6">
        <v>4</v>
      </c>
      <c r="G61" s="6" t="s">
        <v>156</v>
      </c>
    </row>
    <row r="62" spans="1:7" ht="14.25" customHeight="1" x14ac:dyDescent="0.3">
      <c r="A62" s="6">
        <v>69</v>
      </c>
      <c r="B62" s="6" t="s">
        <v>181</v>
      </c>
      <c r="C62" s="6" t="s">
        <v>55</v>
      </c>
      <c r="D62" s="6" t="s">
        <v>182</v>
      </c>
      <c r="E62" s="6" t="s">
        <v>10</v>
      </c>
      <c r="F62" s="6">
        <v>48</v>
      </c>
      <c r="G62" s="6" t="s">
        <v>156</v>
      </c>
    </row>
    <row r="63" spans="1:7" ht="14.25" customHeight="1" x14ac:dyDescent="0.3">
      <c r="A63" s="6">
        <v>70</v>
      </c>
      <c r="B63" s="6" t="s">
        <v>183</v>
      </c>
      <c r="C63" s="6" t="s">
        <v>55</v>
      </c>
      <c r="D63" s="6" t="s">
        <v>184</v>
      </c>
      <c r="E63" s="6" t="s">
        <v>10</v>
      </c>
      <c r="F63" s="6">
        <v>12.5</v>
      </c>
      <c r="G63" s="6" t="s">
        <v>156</v>
      </c>
    </row>
    <row r="64" spans="1:7" ht="14.25" customHeight="1" x14ac:dyDescent="0.3">
      <c r="A64" s="6">
        <v>71</v>
      </c>
      <c r="B64" s="6" t="s">
        <v>185</v>
      </c>
      <c r="C64" s="6" t="s">
        <v>55</v>
      </c>
      <c r="D64" s="6" t="s">
        <v>186</v>
      </c>
      <c r="E64" s="6" t="s">
        <v>109</v>
      </c>
      <c r="F64" s="6" t="s">
        <v>163</v>
      </c>
      <c r="G64" s="6" t="s">
        <v>156</v>
      </c>
    </row>
    <row r="65" spans="1:7" ht="14.25" customHeight="1" x14ac:dyDescent="0.3">
      <c r="A65" s="6">
        <v>72</v>
      </c>
      <c r="B65" s="6" t="s">
        <v>185</v>
      </c>
      <c r="C65" s="6" t="s">
        <v>55</v>
      </c>
      <c r="D65" s="6" t="s">
        <v>187</v>
      </c>
      <c r="E65" s="6" t="s">
        <v>109</v>
      </c>
      <c r="F65" s="6" t="s">
        <v>110</v>
      </c>
      <c r="G65" s="6" t="s">
        <v>156</v>
      </c>
    </row>
    <row r="66" spans="1:7" ht="14.25" customHeight="1" x14ac:dyDescent="0.3">
      <c r="A66" s="6">
        <v>73</v>
      </c>
      <c r="B66" s="6" t="s">
        <v>188</v>
      </c>
      <c r="C66" s="6" t="s">
        <v>55</v>
      </c>
      <c r="D66" s="6" t="s">
        <v>189</v>
      </c>
      <c r="E66" s="6" t="s">
        <v>10</v>
      </c>
      <c r="F66" s="6" t="s">
        <v>190</v>
      </c>
      <c r="G66" s="6" t="s">
        <v>156</v>
      </c>
    </row>
    <row r="67" spans="1:7" ht="14.25" customHeight="1" x14ac:dyDescent="0.3">
      <c r="A67" s="6">
        <v>74</v>
      </c>
      <c r="B67" s="6" t="s">
        <v>191</v>
      </c>
      <c r="C67" s="6" t="s">
        <v>55</v>
      </c>
      <c r="D67" s="6" t="s">
        <v>192</v>
      </c>
      <c r="E67" s="6" t="s">
        <v>10</v>
      </c>
      <c r="F67" s="6" t="s">
        <v>193</v>
      </c>
      <c r="G67" s="6" t="s">
        <v>156</v>
      </c>
    </row>
    <row r="68" spans="1:7" ht="14.25" customHeight="1" x14ac:dyDescent="0.3">
      <c r="A68" s="6">
        <v>75</v>
      </c>
      <c r="B68" s="6" t="s">
        <v>194</v>
      </c>
      <c r="C68" s="6" t="s">
        <v>55</v>
      </c>
      <c r="D68" s="6" t="s">
        <v>195</v>
      </c>
      <c r="E68" s="6" t="s">
        <v>10</v>
      </c>
      <c r="F68" s="6" t="s">
        <v>196</v>
      </c>
      <c r="G68" s="6" t="s">
        <v>156</v>
      </c>
    </row>
    <row r="69" spans="1:7" ht="14.25" customHeight="1" x14ac:dyDescent="0.3">
      <c r="A69" s="6">
        <v>76</v>
      </c>
      <c r="B69" s="6" t="s">
        <v>197</v>
      </c>
      <c r="C69" s="6" t="s">
        <v>55</v>
      </c>
      <c r="D69" s="6" t="s">
        <v>198</v>
      </c>
      <c r="E69" s="6" t="s">
        <v>10</v>
      </c>
      <c r="F69" s="6" t="s">
        <v>199</v>
      </c>
      <c r="G69" s="6" t="s">
        <v>156</v>
      </c>
    </row>
    <row r="70" spans="1:7" ht="14.25" customHeight="1" x14ac:dyDescent="0.3">
      <c r="A70" s="6">
        <v>77</v>
      </c>
      <c r="B70" s="6" t="s">
        <v>200</v>
      </c>
      <c r="C70" s="6" t="s">
        <v>55</v>
      </c>
      <c r="D70" s="6" t="s">
        <v>201</v>
      </c>
      <c r="E70" s="6" t="s">
        <v>63</v>
      </c>
      <c r="F70" s="6" t="s">
        <v>202</v>
      </c>
      <c r="G70" s="6"/>
    </row>
    <row r="71" spans="1:7" ht="14.25" customHeight="1" x14ac:dyDescent="0.3">
      <c r="A71" s="6">
        <v>78</v>
      </c>
      <c r="B71" s="6" t="s">
        <v>203</v>
      </c>
      <c r="C71" s="6" t="s">
        <v>55</v>
      </c>
      <c r="D71" s="6" t="s">
        <v>204</v>
      </c>
      <c r="E71" s="6" t="s">
        <v>63</v>
      </c>
      <c r="F71" s="6" t="s">
        <v>205</v>
      </c>
      <c r="G71" s="6" t="s">
        <v>156</v>
      </c>
    </row>
    <row r="72" spans="1:7" ht="14.25" customHeight="1" x14ac:dyDescent="0.3">
      <c r="A72" s="6">
        <v>79</v>
      </c>
      <c r="B72" s="6" t="s">
        <v>206</v>
      </c>
      <c r="C72" s="6" t="s">
        <v>55</v>
      </c>
      <c r="D72" s="7" t="s">
        <v>207</v>
      </c>
      <c r="E72" s="6" t="s">
        <v>10</v>
      </c>
      <c r="F72" s="6" t="s">
        <v>208</v>
      </c>
      <c r="G72" s="6" t="s">
        <v>156</v>
      </c>
    </row>
    <row r="73" spans="1:7" ht="14.25" customHeight="1" x14ac:dyDescent="0.3">
      <c r="A73" s="6">
        <v>80</v>
      </c>
      <c r="B73" s="6" t="s">
        <v>209</v>
      </c>
      <c r="C73" s="6" t="s">
        <v>55</v>
      </c>
      <c r="D73" s="6" t="s">
        <v>210</v>
      </c>
      <c r="E73" s="6" t="s">
        <v>10</v>
      </c>
      <c r="F73" s="6" t="s">
        <v>211</v>
      </c>
      <c r="G73" s="6" t="s">
        <v>156</v>
      </c>
    </row>
    <row r="74" spans="1:7" ht="14.25" customHeight="1" x14ac:dyDescent="0.3">
      <c r="A74" s="6">
        <v>81</v>
      </c>
      <c r="B74" s="6" t="s">
        <v>212</v>
      </c>
      <c r="C74" s="6" t="s">
        <v>213</v>
      </c>
      <c r="D74" s="6" t="s">
        <v>214</v>
      </c>
      <c r="E74" s="6" t="s">
        <v>63</v>
      </c>
      <c r="F74" s="8" t="s">
        <v>215</v>
      </c>
      <c r="G74" s="6" t="s">
        <v>156</v>
      </c>
    </row>
    <row r="75" spans="1:7" ht="14.25" customHeight="1" x14ac:dyDescent="0.3">
      <c r="A75" s="6">
        <v>82</v>
      </c>
      <c r="B75" s="6" t="s">
        <v>216</v>
      </c>
      <c r="C75" s="6" t="s">
        <v>213</v>
      </c>
      <c r="D75" s="6" t="s">
        <v>217</v>
      </c>
      <c r="E75" s="6" t="s">
        <v>63</v>
      </c>
      <c r="F75" s="8" t="s">
        <v>218</v>
      </c>
      <c r="G75" s="6" t="s">
        <v>156</v>
      </c>
    </row>
    <row r="76" spans="1:7" ht="14.25" customHeight="1" x14ac:dyDescent="0.3">
      <c r="A76" s="6">
        <v>83</v>
      </c>
      <c r="B76" s="6" t="s">
        <v>219</v>
      </c>
      <c r="C76" s="6" t="s">
        <v>213</v>
      </c>
      <c r="D76" s="6" t="s">
        <v>220</v>
      </c>
      <c r="E76" s="6" t="s">
        <v>63</v>
      </c>
      <c r="F76" s="6" t="s">
        <v>221</v>
      </c>
      <c r="G76" s="6" t="s">
        <v>156</v>
      </c>
    </row>
    <row r="77" spans="1:7" ht="14.25" customHeight="1" x14ac:dyDescent="0.3">
      <c r="A77" s="6">
        <v>84</v>
      </c>
      <c r="B77" s="6" t="s">
        <v>212</v>
      </c>
      <c r="C77" s="6" t="s">
        <v>213</v>
      </c>
      <c r="D77" s="6" t="s">
        <v>222</v>
      </c>
      <c r="E77" s="6" t="s">
        <v>63</v>
      </c>
      <c r="F77" s="6" t="s">
        <v>223</v>
      </c>
      <c r="G77" s="6" t="s">
        <v>156</v>
      </c>
    </row>
    <row r="78" spans="1:7" ht="14.25" customHeight="1" x14ac:dyDescent="0.3">
      <c r="A78" s="6">
        <v>85</v>
      </c>
      <c r="B78" s="6" t="s">
        <v>224</v>
      </c>
      <c r="C78" s="6" t="s">
        <v>213</v>
      </c>
      <c r="D78" s="6" t="s">
        <v>225</v>
      </c>
      <c r="E78" s="6" t="s">
        <v>63</v>
      </c>
      <c r="F78" s="8" t="s">
        <v>226</v>
      </c>
      <c r="G78" s="6" t="s">
        <v>156</v>
      </c>
    </row>
    <row r="79" spans="1:7" ht="14.25" customHeight="1" x14ac:dyDescent="0.3">
      <c r="A79" s="6">
        <v>86</v>
      </c>
      <c r="B79" s="6" t="s">
        <v>227</v>
      </c>
      <c r="C79" s="6" t="s">
        <v>213</v>
      </c>
      <c r="D79" s="6" t="b">
        <v>1</v>
      </c>
      <c r="E79" s="6" t="s">
        <v>109</v>
      </c>
      <c r="F79" s="6" t="s">
        <v>163</v>
      </c>
      <c r="G79" s="6"/>
    </row>
    <row r="80" spans="1:7" ht="14.25" customHeight="1" x14ac:dyDescent="0.3">
      <c r="A80" s="6">
        <v>87</v>
      </c>
      <c r="B80" s="6" t="s">
        <v>228</v>
      </c>
      <c r="C80" s="6" t="s">
        <v>213</v>
      </c>
      <c r="D80" s="6" t="s">
        <v>229</v>
      </c>
      <c r="E80" s="6" t="s">
        <v>109</v>
      </c>
      <c r="F80" s="6" t="s">
        <v>110</v>
      </c>
      <c r="G80" s="6"/>
    </row>
    <row r="81" spans="1:7" ht="14.25" customHeight="1" x14ac:dyDescent="0.3">
      <c r="A81" s="6">
        <v>88</v>
      </c>
      <c r="B81" s="6" t="s">
        <v>230</v>
      </c>
      <c r="C81" s="6" t="s">
        <v>213</v>
      </c>
      <c r="D81" s="6" t="s">
        <v>231</v>
      </c>
      <c r="E81" s="6" t="s">
        <v>63</v>
      </c>
      <c r="F81" s="6" t="s">
        <v>232</v>
      </c>
      <c r="G81" s="6" t="s">
        <v>156</v>
      </c>
    </row>
    <row r="82" spans="1:7" ht="14.25" customHeight="1" x14ac:dyDescent="0.3">
      <c r="A82" s="6">
        <v>89</v>
      </c>
      <c r="B82" s="6" t="s">
        <v>230</v>
      </c>
      <c r="C82" s="6" t="s">
        <v>213</v>
      </c>
      <c r="D82" s="6" t="s">
        <v>233</v>
      </c>
      <c r="E82" s="6" t="s">
        <v>63</v>
      </c>
      <c r="F82" s="6" t="s">
        <v>234</v>
      </c>
      <c r="G82" s="6" t="s">
        <v>156</v>
      </c>
    </row>
    <row r="83" spans="1:7" ht="14.25" customHeight="1" x14ac:dyDescent="0.3">
      <c r="A83" s="6">
        <v>90</v>
      </c>
      <c r="B83" s="6" t="s">
        <v>235</v>
      </c>
      <c r="C83" s="6" t="s">
        <v>213</v>
      </c>
      <c r="D83" s="6" t="s">
        <v>236</v>
      </c>
      <c r="E83" s="6" t="s">
        <v>63</v>
      </c>
      <c r="F83" s="6" t="s">
        <v>237</v>
      </c>
      <c r="G83" s="6" t="s">
        <v>156</v>
      </c>
    </row>
    <row r="84" spans="1:7" ht="14.25" customHeight="1" x14ac:dyDescent="0.3">
      <c r="A84" s="6">
        <v>91</v>
      </c>
      <c r="B84" s="6" t="s">
        <v>230</v>
      </c>
      <c r="C84" s="6" t="s">
        <v>213</v>
      </c>
      <c r="D84" s="6" t="s">
        <v>238</v>
      </c>
      <c r="E84" s="6" t="s">
        <v>63</v>
      </c>
      <c r="F84" s="6" t="s">
        <v>239</v>
      </c>
      <c r="G84" s="6" t="s">
        <v>156</v>
      </c>
    </row>
    <row r="85" spans="1:7" ht="14.25" customHeight="1" x14ac:dyDescent="0.3">
      <c r="A85" s="6">
        <v>92</v>
      </c>
      <c r="B85" s="6" t="s">
        <v>240</v>
      </c>
      <c r="C85" s="6" t="s">
        <v>213</v>
      </c>
      <c r="D85" s="6" t="s">
        <v>241</v>
      </c>
      <c r="E85" s="6" t="s">
        <v>63</v>
      </c>
      <c r="F85" s="6" t="s">
        <v>242</v>
      </c>
      <c r="G85" s="6" t="s">
        <v>156</v>
      </c>
    </row>
    <row r="86" spans="1:7" ht="14.25" customHeight="1" x14ac:dyDescent="0.3">
      <c r="A86" s="6">
        <v>93</v>
      </c>
      <c r="B86" s="6" t="s">
        <v>243</v>
      </c>
      <c r="C86" s="6" t="s">
        <v>213</v>
      </c>
      <c r="D86" s="6" t="s">
        <v>244</v>
      </c>
      <c r="E86" s="6" t="s">
        <v>63</v>
      </c>
      <c r="F86" s="6" t="s">
        <v>245</v>
      </c>
      <c r="G86" s="6" t="s">
        <v>156</v>
      </c>
    </row>
    <row r="87" spans="1:7" ht="14.25" customHeight="1" x14ac:dyDescent="0.3">
      <c r="A87" s="6">
        <v>94</v>
      </c>
      <c r="B87" s="6" t="s">
        <v>246</v>
      </c>
      <c r="C87" s="6" t="s">
        <v>213</v>
      </c>
      <c r="D87" s="6" t="s">
        <v>247</v>
      </c>
      <c r="E87" s="6" t="s">
        <v>63</v>
      </c>
      <c r="F87" s="6" t="s">
        <v>248</v>
      </c>
      <c r="G87" s="6" t="s">
        <v>156</v>
      </c>
    </row>
    <row r="88" spans="1:7" ht="14.25" customHeight="1" x14ac:dyDescent="0.3">
      <c r="A88" s="6">
        <v>95</v>
      </c>
      <c r="B88" s="6" t="s">
        <v>249</v>
      </c>
      <c r="C88" s="6" t="s">
        <v>213</v>
      </c>
      <c r="D88" s="6" t="s">
        <v>250</v>
      </c>
      <c r="E88" s="6" t="s">
        <v>63</v>
      </c>
      <c r="F88" s="6" t="s">
        <v>251</v>
      </c>
      <c r="G88" s="6" t="s">
        <v>156</v>
      </c>
    </row>
    <row r="89" spans="1:7" ht="14.25" customHeight="1" x14ac:dyDescent="0.3">
      <c r="A89" s="6">
        <v>96</v>
      </c>
      <c r="B89" s="6" t="s">
        <v>252</v>
      </c>
      <c r="C89" s="6" t="s">
        <v>213</v>
      </c>
      <c r="D89" s="6" t="s">
        <v>253</v>
      </c>
      <c r="E89" s="6" t="s">
        <v>63</v>
      </c>
      <c r="F89" s="6" t="s">
        <v>254</v>
      </c>
      <c r="G89" s="6" t="s">
        <v>156</v>
      </c>
    </row>
    <row r="90" spans="1:7" ht="14.25" customHeight="1" x14ac:dyDescent="0.3">
      <c r="A90" s="6">
        <v>97</v>
      </c>
      <c r="B90" s="6" t="s">
        <v>255</v>
      </c>
      <c r="C90" s="6" t="s">
        <v>213</v>
      </c>
      <c r="D90" s="6" t="s">
        <v>256</v>
      </c>
      <c r="E90" s="6" t="s">
        <v>63</v>
      </c>
      <c r="F90" s="6" t="s">
        <v>257</v>
      </c>
      <c r="G90" s="6"/>
    </row>
    <row r="91" spans="1:7" ht="14.25" customHeight="1" x14ac:dyDescent="0.3">
      <c r="A91" s="6">
        <v>98</v>
      </c>
      <c r="B91" s="6" t="s">
        <v>258</v>
      </c>
      <c r="C91" s="6" t="s">
        <v>213</v>
      </c>
      <c r="D91" s="6" t="s">
        <v>259</v>
      </c>
      <c r="E91" s="6" t="s">
        <v>63</v>
      </c>
      <c r="F91" s="6" t="s">
        <v>260</v>
      </c>
      <c r="G91" s="6"/>
    </row>
    <row r="92" spans="1:7" ht="14.25" customHeight="1" x14ac:dyDescent="0.3">
      <c r="A92" s="6">
        <v>99</v>
      </c>
      <c r="B92" s="6" t="s">
        <v>261</v>
      </c>
      <c r="C92" s="6" t="s">
        <v>213</v>
      </c>
      <c r="D92" s="6" t="s">
        <v>262</v>
      </c>
      <c r="E92" s="6" t="s">
        <v>63</v>
      </c>
      <c r="F92" s="6" t="s">
        <v>263</v>
      </c>
      <c r="G92" s="6"/>
    </row>
    <row r="93" spans="1:7" ht="14.25" customHeight="1" x14ac:dyDescent="0.3">
      <c r="A93" s="6">
        <v>100</v>
      </c>
      <c r="B93" s="6" t="s">
        <v>264</v>
      </c>
      <c r="C93" s="6" t="s">
        <v>213</v>
      </c>
      <c r="D93" s="6" t="s">
        <v>265</v>
      </c>
      <c r="E93" s="6" t="s">
        <v>63</v>
      </c>
      <c r="F93" s="6" t="s">
        <v>266</v>
      </c>
      <c r="G93" s="6"/>
    </row>
    <row r="94" spans="1:7" ht="14.25" customHeight="1" x14ac:dyDescent="0.3">
      <c r="A94" s="6">
        <v>101</v>
      </c>
      <c r="B94" s="6" t="s">
        <v>267</v>
      </c>
      <c r="C94" s="6" t="s">
        <v>213</v>
      </c>
      <c r="D94" s="6" t="s">
        <v>268</v>
      </c>
      <c r="E94" s="6" t="s">
        <v>63</v>
      </c>
      <c r="F94" s="6" t="s">
        <v>269</v>
      </c>
      <c r="G94" s="6"/>
    </row>
    <row r="95" spans="1:7" ht="14.25" customHeight="1" x14ac:dyDescent="0.3">
      <c r="A95" s="6">
        <v>102</v>
      </c>
      <c r="B95" s="6" t="s">
        <v>270</v>
      </c>
      <c r="C95" s="6" t="s">
        <v>213</v>
      </c>
      <c r="D95" s="6" t="s">
        <v>271</v>
      </c>
      <c r="E95" s="6" t="s">
        <v>63</v>
      </c>
      <c r="F95" s="6" t="s">
        <v>272</v>
      </c>
      <c r="G95" s="6"/>
    </row>
    <row r="96" spans="1:7" ht="14.25" customHeight="1" x14ac:dyDescent="0.3">
      <c r="A96" s="6">
        <v>103</v>
      </c>
      <c r="B96" s="6" t="s">
        <v>273</v>
      </c>
      <c r="C96" s="6" t="s">
        <v>213</v>
      </c>
      <c r="D96" s="6" t="s">
        <v>274</v>
      </c>
      <c r="E96" s="6" t="s">
        <v>63</v>
      </c>
      <c r="F96" s="6" t="s">
        <v>275</v>
      </c>
      <c r="G96" s="6"/>
    </row>
    <row r="97" spans="1:7" ht="14.25" customHeight="1" x14ac:dyDescent="0.3">
      <c r="A97" s="6">
        <v>104</v>
      </c>
      <c r="B97" s="6" t="s">
        <v>276</v>
      </c>
      <c r="C97" s="6" t="s">
        <v>213</v>
      </c>
      <c r="D97" s="6" t="s">
        <v>277</v>
      </c>
      <c r="E97" s="6" t="s">
        <v>63</v>
      </c>
      <c r="F97" s="6" t="s">
        <v>278</v>
      </c>
      <c r="G97" s="6"/>
    </row>
    <row r="98" spans="1:7" ht="14.25" customHeight="1" x14ac:dyDescent="0.3">
      <c r="A98" s="6">
        <v>105</v>
      </c>
      <c r="B98" s="6" t="s">
        <v>279</v>
      </c>
      <c r="C98" s="6" t="s">
        <v>213</v>
      </c>
      <c r="D98" s="6" t="s">
        <v>280</v>
      </c>
      <c r="E98" s="6" t="s">
        <v>63</v>
      </c>
      <c r="F98" s="6" t="s">
        <v>281</v>
      </c>
      <c r="G98" s="6" t="s">
        <v>156</v>
      </c>
    </row>
    <row r="99" spans="1:7" ht="14.25" customHeight="1" x14ac:dyDescent="0.3">
      <c r="A99" s="6">
        <v>106</v>
      </c>
      <c r="B99" s="6" t="s">
        <v>282</v>
      </c>
      <c r="C99" s="6" t="s">
        <v>213</v>
      </c>
      <c r="D99" s="6" t="s">
        <v>283</v>
      </c>
      <c r="E99" s="6" t="s">
        <v>63</v>
      </c>
      <c r="F99" s="6" t="s">
        <v>284</v>
      </c>
      <c r="G99" s="6"/>
    </row>
    <row r="100" spans="1:7" ht="14.25" customHeight="1" x14ac:dyDescent="0.3">
      <c r="A100" s="6">
        <v>107</v>
      </c>
      <c r="B100" s="6" t="s">
        <v>285</v>
      </c>
      <c r="C100" s="6" t="s">
        <v>213</v>
      </c>
      <c r="D100" s="6" t="s">
        <v>286</v>
      </c>
      <c r="E100" s="6" t="s">
        <v>63</v>
      </c>
      <c r="F100" s="6" t="s">
        <v>287</v>
      </c>
      <c r="G100" s="6"/>
    </row>
    <row r="101" spans="1:7" ht="14.25" customHeight="1" x14ac:dyDescent="0.3">
      <c r="A101" s="6">
        <v>108</v>
      </c>
      <c r="B101" s="6" t="s">
        <v>288</v>
      </c>
      <c r="C101" s="6" t="s">
        <v>213</v>
      </c>
      <c r="D101" s="6" t="s">
        <v>289</v>
      </c>
      <c r="E101" s="6" t="s">
        <v>63</v>
      </c>
      <c r="F101" s="6" t="s">
        <v>290</v>
      </c>
      <c r="G101" s="6"/>
    </row>
    <row r="102" spans="1:7" ht="14.25" customHeight="1" x14ac:dyDescent="0.3">
      <c r="A102" s="6">
        <v>109</v>
      </c>
      <c r="B102" s="6" t="s">
        <v>291</v>
      </c>
      <c r="C102" s="6" t="s">
        <v>213</v>
      </c>
      <c r="D102" s="6" t="s">
        <v>292</v>
      </c>
      <c r="E102" s="6" t="s">
        <v>63</v>
      </c>
      <c r="F102" s="6" t="s">
        <v>293</v>
      </c>
      <c r="G102" s="6"/>
    </row>
    <row r="103" spans="1:7" ht="14.25" customHeight="1" x14ac:dyDescent="0.3">
      <c r="A103" s="6">
        <v>110</v>
      </c>
      <c r="B103" s="6" t="s">
        <v>294</v>
      </c>
      <c r="C103" s="6" t="s">
        <v>213</v>
      </c>
      <c r="D103" s="6" t="s">
        <v>295</v>
      </c>
      <c r="E103" s="6" t="s">
        <v>63</v>
      </c>
      <c r="F103" s="6" t="s">
        <v>296</v>
      </c>
      <c r="G103" s="6"/>
    </row>
    <row r="104" spans="1:7" ht="14.25" customHeight="1" x14ac:dyDescent="0.3">
      <c r="A104" s="6">
        <v>111</v>
      </c>
      <c r="B104" s="6" t="s">
        <v>297</v>
      </c>
      <c r="C104" s="6" t="s">
        <v>213</v>
      </c>
      <c r="D104" s="6" t="s">
        <v>298</v>
      </c>
      <c r="E104" s="6" t="s">
        <v>63</v>
      </c>
      <c r="F104" s="6" t="s">
        <v>299</v>
      </c>
      <c r="G104" s="6"/>
    </row>
    <row r="105" spans="1:7" ht="14.25" customHeight="1" x14ac:dyDescent="0.3">
      <c r="A105" s="6">
        <v>112</v>
      </c>
      <c r="B105" s="6" t="s">
        <v>300</v>
      </c>
      <c r="C105" s="6" t="s">
        <v>213</v>
      </c>
      <c r="D105" s="6" t="s">
        <v>301</v>
      </c>
      <c r="E105" s="6" t="s">
        <v>63</v>
      </c>
      <c r="F105" s="6" t="s">
        <v>302</v>
      </c>
      <c r="G105" s="6"/>
    </row>
    <row r="106" spans="1:7" ht="14.25" customHeight="1" x14ac:dyDescent="0.3">
      <c r="A106" s="6">
        <v>113</v>
      </c>
      <c r="B106" s="6" t="s">
        <v>303</v>
      </c>
      <c r="C106" s="6" t="s">
        <v>213</v>
      </c>
      <c r="D106" s="6" t="s">
        <v>304</v>
      </c>
      <c r="E106" s="6" t="s">
        <v>63</v>
      </c>
      <c r="F106" s="6" t="s">
        <v>305</v>
      </c>
      <c r="G106" s="6"/>
    </row>
    <row r="107" spans="1:7" ht="14.25" customHeight="1" x14ac:dyDescent="0.3">
      <c r="A107" s="6">
        <v>114</v>
      </c>
      <c r="B107" s="6" t="s">
        <v>306</v>
      </c>
      <c r="C107" s="6" t="s">
        <v>213</v>
      </c>
      <c r="D107" s="6" t="s">
        <v>1345</v>
      </c>
      <c r="E107" s="6" t="s">
        <v>63</v>
      </c>
      <c r="F107" s="6" t="s">
        <v>307</v>
      </c>
      <c r="G107" s="6"/>
    </row>
    <row r="108" spans="1:7" ht="14.25" customHeight="1" x14ac:dyDescent="0.3">
      <c r="A108" s="6">
        <v>115</v>
      </c>
      <c r="B108" s="6" t="s">
        <v>308</v>
      </c>
      <c r="C108" s="6" t="s">
        <v>213</v>
      </c>
      <c r="D108" s="6" t="s">
        <v>309</v>
      </c>
      <c r="E108" s="6" t="s">
        <v>63</v>
      </c>
      <c r="F108" s="6" t="s">
        <v>310</v>
      </c>
      <c r="G108" s="6"/>
    </row>
    <row r="109" spans="1:7" ht="14.25" customHeight="1" x14ac:dyDescent="0.3">
      <c r="A109" s="6">
        <v>116</v>
      </c>
      <c r="B109" s="6" t="s">
        <v>311</v>
      </c>
      <c r="C109" s="6" t="s">
        <v>213</v>
      </c>
      <c r="D109" s="6" t="s">
        <v>312</v>
      </c>
      <c r="E109" s="6" t="s">
        <v>63</v>
      </c>
      <c r="F109" s="6" t="s">
        <v>313</v>
      </c>
      <c r="G109" s="6"/>
    </row>
    <row r="110" spans="1:7" ht="14.25" customHeight="1" x14ac:dyDescent="0.3">
      <c r="A110" s="6">
        <v>117</v>
      </c>
      <c r="B110" s="6" t="s">
        <v>314</v>
      </c>
      <c r="C110" s="6" t="s">
        <v>213</v>
      </c>
      <c r="D110" s="6" t="s">
        <v>315</v>
      </c>
      <c r="E110" s="6" t="s">
        <v>63</v>
      </c>
      <c r="F110" s="6" t="s">
        <v>316</v>
      </c>
      <c r="G110" s="6"/>
    </row>
    <row r="111" spans="1:7" ht="14.25" customHeight="1" x14ac:dyDescent="0.3">
      <c r="A111" s="6">
        <v>118</v>
      </c>
      <c r="B111" s="6" t="s">
        <v>317</v>
      </c>
      <c r="C111" s="6" t="s">
        <v>213</v>
      </c>
      <c r="D111" s="6" t="s">
        <v>318</v>
      </c>
      <c r="E111" s="6" t="s">
        <v>63</v>
      </c>
      <c r="F111" s="6" t="s">
        <v>319</v>
      </c>
      <c r="G111" s="6"/>
    </row>
    <row r="112" spans="1:7" ht="14.25" customHeight="1" x14ac:dyDescent="0.3">
      <c r="A112" s="6">
        <v>119</v>
      </c>
      <c r="B112" s="6" t="s">
        <v>320</v>
      </c>
      <c r="C112" s="6" t="s">
        <v>213</v>
      </c>
      <c r="D112" s="6" t="s">
        <v>321</v>
      </c>
      <c r="E112" s="6" t="s">
        <v>10</v>
      </c>
      <c r="F112" s="6" t="s">
        <v>322</v>
      </c>
      <c r="G112" s="6"/>
    </row>
    <row r="113" spans="1:7" ht="14.25" customHeight="1" x14ac:dyDescent="0.3">
      <c r="A113" s="6">
        <v>120</v>
      </c>
      <c r="B113" s="6" t="s">
        <v>323</v>
      </c>
      <c r="C113" s="6" t="s">
        <v>213</v>
      </c>
      <c r="D113" s="6">
        <v>0</v>
      </c>
      <c r="E113" s="6" t="s">
        <v>10</v>
      </c>
      <c r="F113" s="6">
        <v>0</v>
      </c>
      <c r="G113" s="6"/>
    </row>
    <row r="114" spans="1:7" ht="14.25" customHeight="1" x14ac:dyDescent="0.3">
      <c r="A114" s="6">
        <v>121</v>
      </c>
      <c r="B114" s="6" t="s">
        <v>324</v>
      </c>
      <c r="C114" s="6" t="s">
        <v>213</v>
      </c>
      <c r="D114" s="6" t="s">
        <v>325</v>
      </c>
      <c r="E114" s="6" t="s">
        <v>10</v>
      </c>
      <c r="F114" s="6" t="s">
        <v>326</v>
      </c>
      <c r="G114" s="6"/>
    </row>
    <row r="115" spans="1:7" ht="14.25" customHeight="1" x14ac:dyDescent="0.3">
      <c r="A115" s="6">
        <v>122</v>
      </c>
      <c r="B115" s="6" t="s">
        <v>327</v>
      </c>
      <c r="C115" s="6" t="s">
        <v>213</v>
      </c>
      <c r="D115" s="6" t="s">
        <v>328</v>
      </c>
      <c r="E115" s="6" t="s">
        <v>10</v>
      </c>
      <c r="F115" s="6" t="s">
        <v>329</v>
      </c>
      <c r="G115" s="6"/>
    </row>
    <row r="116" spans="1:7" ht="14.25" customHeight="1" x14ac:dyDescent="0.3">
      <c r="A116" s="6">
        <v>123</v>
      </c>
      <c r="B116" s="6" t="s">
        <v>330</v>
      </c>
      <c r="C116" s="6" t="s">
        <v>213</v>
      </c>
      <c r="D116" s="6" t="s">
        <v>331</v>
      </c>
      <c r="E116" s="6" t="s">
        <v>10</v>
      </c>
      <c r="F116" s="6" t="s">
        <v>329</v>
      </c>
      <c r="G116" s="6"/>
    </row>
    <row r="117" spans="1:7" ht="14.25" customHeight="1" x14ac:dyDescent="0.3">
      <c r="A117" s="6">
        <v>124</v>
      </c>
      <c r="B117" s="6" t="s">
        <v>332</v>
      </c>
      <c r="C117" s="6" t="s">
        <v>213</v>
      </c>
      <c r="D117" s="6" t="s">
        <v>1346</v>
      </c>
      <c r="E117" s="6" t="s">
        <v>10</v>
      </c>
      <c r="F117" s="6" t="s">
        <v>333</v>
      </c>
      <c r="G117" s="6"/>
    </row>
    <row r="118" spans="1:7" ht="14.25" customHeight="1" x14ac:dyDescent="0.3">
      <c r="A118" s="6">
        <v>125</v>
      </c>
      <c r="B118" s="6" t="s">
        <v>334</v>
      </c>
      <c r="C118" s="6" t="s">
        <v>213</v>
      </c>
      <c r="D118" s="6" t="s">
        <v>335</v>
      </c>
      <c r="E118" s="6" t="s">
        <v>10</v>
      </c>
      <c r="F118" s="6" t="s">
        <v>336</v>
      </c>
      <c r="G118" s="6"/>
    </row>
    <row r="119" spans="1:7" ht="14.25" customHeight="1" x14ac:dyDescent="0.3">
      <c r="A119" s="6">
        <v>126</v>
      </c>
      <c r="B119" s="6" t="s">
        <v>337</v>
      </c>
      <c r="C119" s="6" t="s">
        <v>213</v>
      </c>
      <c r="D119" s="6" t="s">
        <v>338</v>
      </c>
      <c r="E119" s="6" t="s">
        <v>10</v>
      </c>
      <c r="F119" s="6" t="s">
        <v>339</v>
      </c>
      <c r="G119" s="6"/>
    </row>
    <row r="120" spans="1:7" ht="14.25" customHeight="1" x14ac:dyDescent="0.3">
      <c r="A120" s="6">
        <v>127</v>
      </c>
      <c r="B120" s="6" t="s">
        <v>340</v>
      </c>
      <c r="C120" s="6" t="s">
        <v>213</v>
      </c>
      <c r="D120" s="6" t="s">
        <v>1347</v>
      </c>
      <c r="E120" s="6" t="s">
        <v>10</v>
      </c>
      <c r="F120" s="6" t="s">
        <v>341</v>
      </c>
      <c r="G120" s="6"/>
    </row>
    <row r="121" spans="1:7" ht="14.25" customHeight="1" x14ac:dyDescent="0.3">
      <c r="A121" s="6">
        <v>128</v>
      </c>
      <c r="B121" s="6" t="s">
        <v>342</v>
      </c>
      <c r="C121" s="6" t="s">
        <v>213</v>
      </c>
      <c r="D121" s="6" t="s">
        <v>343</v>
      </c>
      <c r="E121" s="6" t="s">
        <v>10</v>
      </c>
      <c r="F121" s="6" t="s">
        <v>344</v>
      </c>
      <c r="G121" s="6"/>
    </row>
    <row r="122" spans="1:7" ht="14.25" customHeight="1" x14ac:dyDescent="0.3">
      <c r="A122" s="6">
        <v>129</v>
      </c>
      <c r="B122" s="6" t="s">
        <v>345</v>
      </c>
      <c r="C122" s="6" t="s">
        <v>213</v>
      </c>
      <c r="D122" s="6" t="s">
        <v>346</v>
      </c>
      <c r="E122" s="6" t="s">
        <v>63</v>
      </c>
      <c r="F122" s="6" t="s">
        <v>347</v>
      </c>
      <c r="G122" s="6"/>
    </row>
    <row r="123" spans="1:7" ht="14.25" customHeight="1" x14ac:dyDescent="0.3">
      <c r="A123" s="6">
        <v>130</v>
      </c>
      <c r="B123" s="6" t="s">
        <v>345</v>
      </c>
      <c r="C123" s="6" t="s">
        <v>213</v>
      </c>
      <c r="D123" s="6" t="s">
        <v>348</v>
      </c>
      <c r="E123" s="6" t="s">
        <v>63</v>
      </c>
      <c r="F123" s="6" t="s">
        <v>349</v>
      </c>
      <c r="G123" s="6"/>
    </row>
    <row r="124" spans="1:7" ht="14.25" customHeight="1" x14ac:dyDescent="0.3">
      <c r="A124" s="6">
        <v>131</v>
      </c>
      <c r="B124" s="6" t="s">
        <v>345</v>
      </c>
      <c r="C124" s="6" t="s">
        <v>213</v>
      </c>
      <c r="D124" s="6" t="s">
        <v>350</v>
      </c>
      <c r="E124" s="6" t="s">
        <v>63</v>
      </c>
      <c r="F124" s="6" t="s">
        <v>351</v>
      </c>
      <c r="G124" s="6"/>
    </row>
    <row r="125" spans="1:7" ht="14.25" customHeight="1" x14ac:dyDescent="0.3">
      <c r="A125" s="6">
        <v>132</v>
      </c>
      <c r="B125" s="6" t="s">
        <v>345</v>
      </c>
      <c r="C125" s="6" t="s">
        <v>213</v>
      </c>
      <c r="D125" s="6" t="s">
        <v>352</v>
      </c>
      <c r="E125" s="6" t="s">
        <v>63</v>
      </c>
      <c r="F125" s="6" t="s">
        <v>353</v>
      </c>
      <c r="G125" s="6"/>
    </row>
    <row r="126" spans="1:7" ht="14.25" customHeight="1" x14ac:dyDescent="0.3">
      <c r="A126" s="6">
        <v>133</v>
      </c>
      <c r="B126" s="6" t="s">
        <v>354</v>
      </c>
      <c r="C126" s="6" t="s">
        <v>213</v>
      </c>
      <c r="D126" s="6" t="s">
        <v>355</v>
      </c>
      <c r="E126" s="6" t="s">
        <v>63</v>
      </c>
      <c r="F126" s="6" t="s">
        <v>356</v>
      </c>
      <c r="G126" s="6"/>
    </row>
    <row r="127" spans="1:7" ht="14.25" customHeight="1" x14ac:dyDescent="0.3">
      <c r="A127" s="6">
        <v>134</v>
      </c>
      <c r="B127" s="6" t="s">
        <v>354</v>
      </c>
      <c r="C127" s="6" t="s">
        <v>213</v>
      </c>
      <c r="D127" s="6" t="s">
        <v>357</v>
      </c>
      <c r="E127" s="6" t="s">
        <v>63</v>
      </c>
      <c r="F127" s="6" t="s">
        <v>358</v>
      </c>
      <c r="G127" s="6"/>
    </row>
    <row r="128" spans="1:7" ht="14.25" customHeight="1" x14ac:dyDescent="0.3">
      <c r="A128" s="6">
        <v>135</v>
      </c>
      <c r="B128" s="6" t="s">
        <v>354</v>
      </c>
      <c r="C128" s="6" t="s">
        <v>213</v>
      </c>
      <c r="D128" s="6" t="s">
        <v>359</v>
      </c>
      <c r="E128" s="6" t="s">
        <v>63</v>
      </c>
      <c r="F128" s="6" t="s">
        <v>360</v>
      </c>
      <c r="G128" s="6"/>
    </row>
    <row r="129" spans="1:7" ht="14.25" customHeight="1" x14ac:dyDescent="0.3">
      <c r="A129" s="6">
        <v>136</v>
      </c>
      <c r="B129" s="6" t="s">
        <v>354</v>
      </c>
      <c r="C129" s="6" t="s">
        <v>213</v>
      </c>
      <c r="D129" s="6" t="s">
        <v>361</v>
      </c>
      <c r="E129" s="6" t="s">
        <v>63</v>
      </c>
      <c r="F129" s="6" t="s">
        <v>362</v>
      </c>
      <c r="G129" s="6"/>
    </row>
    <row r="130" spans="1:7" ht="14.25" customHeight="1" x14ac:dyDescent="0.3">
      <c r="A130" s="6">
        <v>137</v>
      </c>
      <c r="B130" s="6" t="s">
        <v>363</v>
      </c>
      <c r="C130" s="6" t="s">
        <v>364</v>
      </c>
      <c r="D130" s="6" t="s">
        <v>365</v>
      </c>
      <c r="E130" s="6" t="s">
        <v>63</v>
      </c>
      <c r="F130" s="6" t="s">
        <v>366</v>
      </c>
      <c r="G130" s="6"/>
    </row>
    <row r="131" spans="1:7" ht="14.25" customHeight="1" x14ac:dyDescent="0.3">
      <c r="A131" s="6">
        <v>138</v>
      </c>
      <c r="B131" s="6" t="s">
        <v>367</v>
      </c>
      <c r="C131" s="6" t="s">
        <v>364</v>
      </c>
      <c r="D131" s="6" t="s">
        <v>368</v>
      </c>
      <c r="E131" s="6" t="s">
        <v>63</v>
      </c>
      <c r="F131" s="6" t="s">
        <v>369</v>
      </c>
      <c r="G131" s="6"/>
    </row>
    <row r="132" spans="1:7" ht="14.25" customHeight="1" x14ac:dyDescent="0.3">
      <c r="A132" s="6">
        <v>139</v>
      </c>
      <c r="B132" s="6" t="s">
        <v>370</v>
      </c>
      <c r="C132" s="6" t="s">
        <v>364</v>
      </c>
      <c r="D132" s="6" t="s">
        <v>371</v>
      </c>
      <c r="E132" s="6" t="s">
        <v>63</v>
      </c>
      <c r="F132" s="6" t="s">
        <v>372</v>
      </c>
      <c r="G132" s="6"/>
    </row>
    <row r="133" spans="1:7" ht="14.25" customHeight="1" x14ac:dyDescent="0.3">
      <c r="A133" s="6">
        <v>140</v>
      </c>
      <c r="B133" s="6" t="s">
        <v>373</v>
      </c>
      <c r="C133" s="6" t="s">
        <v>364</v>
      </c>
      <c r="D133" s="6" t="s">
        <v>374</v>
      </c>
      <c r="E133" s="6" t="s">
        <v>63</v>
      </c>
      <c r="F133" s="6" t="s">
        <v>375</v>
      </c>
      <c r="G133" s="6"/>
    </row>
    <row r="134" spans="1:7" ht="14.25" customHeight="1" x14ac:dyDescent="0.3">
      <c r="A134" s="6">
        <v>141</v>
      </c>
      <c r="B134" s="6" t="s">
        <v>376</v>
      </c>
      <c r="C134" s="6" t="s">
        <v>364</v>
      </c>
      <c r="D134" s="6" t="s">
        <v>377</v>
      </c>
      <c r="E134" s="6" t="s">
        <v>63</v>
      </c>
      <c r="F134" s="6" t="s">
        <v>378</v>
      </c>
      <c r="G134" s="6"/>
    </row>
    <row r="135" spans="1:7" ht="14.25" customHeight="1" x14ac:dyDescent="0.3">
      <c r="A135" s="6">
        <v>142</v>
      </c>
      <c r="B135" s="6" t="s">
        <v>379</v>
      </c>
      <c r="C135" s="6" t="s">
        <v>364</v>
      </c>
      <c r="D135" s="6" t="s">
        <v>380</v>
      </c>
      <c r="E135" s="6" t="s">
        <v>63</v>
      </c>
      <c r="F135" s="6" t="s">
        <v>381</v>
      </c>
      <c r="G135" s="6"/>
    </row>
    <row r="136" spans="1:7" ht="14.25" customHeight="1" x14ac:dyDescent="0.3">
      <c r="A136" s="6">
        <v>143</v>
      </c>
      <c r="B136" s="6" t="s">
        <v>382</v>
      </c>
      <c r="C136" s="6" t="s">
        <v>364</v>
      </c>
      <c r="D136" s="6" t="s">
        <v>383</v>
      </c>
      <c r="E136" s="6" t="s">
        <v>63</v>
      </c>
      <c r="F136" s="6" t="s">
        <v>384</v>
      </c>
      <c r="G136" s="6"/>
    </row>
    <row r="137" spans="1:7" ht="14.25" customHeight="1" x14ac:dyDescent="0.3">
      <c r="A137" s="6">
        <v>144</v>
      </c>
      <c r="B137" s="6" t="s">
        <v>385</v>
      </c>
      <c r="C137" s="6" t="s">
        <v>364</v>
      </c>
      <c r="D137" s="6" t="s">
        <v>386</v>
      </c>
      <c r="E137" s="6" t="s">
        <v>63</v>
      </c>
      <c r="F137" s="6" t="s">
        <v>387</v>
      </c>
      <c r="G137" s="6"/>
    </row>
    <row r="138" spans="1:7" ht="14.25" customHeight="1" x14ac:dyDescent="0.3">
      <c r="A138" s="6">
        <v>145</v>
      </c>
      <c r="B138" s="6" t="s">
        <v>388</v>
      </c>
      <c r="C138" s="6" t="s">
        <v>364</v>
      </c>
      <c r="D138" s="6" t="s">
        <v>389</v>
      </c>
      <c r="E138" s="6" t="s">
        <v>63</v>
      </c>
      <c r="F138" s="6" t="s">
        <v>390</v>
      </c>
      <c r="G138" s="6"/>
    </row>
    <row r="139" spans="1:7" ht="14.25" customHeight="1" x14ac:dyDescent="0.3">
      <c r="A139" s="6">
        <v>146</v>
      </c>
      <c r="B139" s="6" t="s">
        <v>391</v>
      </c>
      <c r="C139" s="6" t="s">
        <v>364</v>
      </c>
      <c r="D139" s="6" t="s">
        <v>392</v>
      </c>
      <c r="E139" s="6" t="s">
        <v>63</v>
      </c>
      <c r="F139" s="6" t="s">
        <v>393</v>
      </c>
      <c r="G139" s="6"/>
    </row>
    <row r="140" spans="1:7" ht="14.25" customHeight="1" x14ac:dyDescent="0.3">
      <c r="A140" s="6">
        <v>147</v>
      </c>
      <c r="B140" s="6" t="s">
        <v>394</v>
      </c>
      <c r="C140" s="6" t="s">
        <v>364</v>
      </c>
      <c r="D140" s="6" t="s">
        <v>395</v>
      </c>
      <c r="E140" s="6" t="s">
        <v>63</v>
      </c>
      <c r="F140" s="6" t="s">
        <v>396</v>
      </c>
      <c r="G140" s="6"/>
    </row>
    <row r="141" spans="1:7" ht="14.25" customHeight="1" x14ac:dyDescent="0.3">
      <c r="A141" s="6">
        <v>148</v>
      </c>
      <c r="B141" s="6" t="s">
        <v>397</v>
      </c>
      <c r="C141" s="6" t="s">
        <v>364</v>
      </c>
      <c r="D141" s="6" t="s">
        <v>398</v>
      </c>
      <c r="E141" s="6" t="s">
        <v>63</v>
      </c>
      <c r="F141" s="6" t="s">
        <v>399</v>
      </c>
      <c r="G141" s="6"/>
    </row>
    <row r="142" spans="1:7" ht="14.25" customHeight="1" x14ac:dyDescent="0.3">
      <c r="A142" s="6">
        <v>149</v>
      </c>
      <c r="B142" s="6" t="s">
        <v>400</v>
      </c>
      <c r="C142" s="6" t="s">
        <v>364</v>
      </c>
      <c r="D142" s="6" t="s">
        <v>401</v>
      </c>
      <c r="E142" s="6" t="s">
        <v>63</v>
      </c>
      <c r="F142" s="6" t="s">
        <v>402</v>
      </c>
      <c r="G142" s="6"/>
    </row>
    <row r="143" spans="1:7" ht="14.25" customHeight="1" x14ac:dyDescent="0.3">
      <c r="A143" s="6">
        <v>150</v>
      </c>
      <c r="B143" s="6" t="s">
        <v>403</v>
      </c>
      <c r="C143" s="6" t="s">
        <v>364</v>
      </c>
      <c r="D143" s="6" t="s">
        <v>404</v>
      </c>
      <c r="E143" s="6" t="s">
        <v>63</v>
      </c>
      <c r="F143" s="6" t="s">
        <v>405</v>
      </c>
      <c r="G143" s="6"/>
    </row>
    <row r="144" spans="1:7" ht="14.25" customHeight="1" x14ac:dyDescent="0.3">
      <c r="A144" s="6">
        <v>151</v>
      </c>
      <c r="B144" s="6" t="s">
        <v>406</v>
      </c>
      <c r="C144" s="6" t="s">
        <v>364</v>
      </c>
      <c r="D144" s="7" t="s">
        <v>407</v>
      </c>
      <c r="E144" s="6" t="s">
        <v>63</v>
      </c>
      <c r="F144" s="6" t="s">
        <v>408</v>
      </c>
      <c r="G144" s="6"/>
    </row>
    <row r="145" spans="1:7" ht="14.25" customHeight="1" x14ac:dyDescent="0.3">
      <c r="A145" s="6">
        <v>152</v>
      </c>
      <c r="B145" s="6" t="s">
        <v>409</v>
      </c>
      <c r="C145" s="6" t="s">
        <v>364</v>
      </c>
      <c r="D145" s="6" t="s">
        <v>410</v>
      </c>
      <c r="E145" s="6" t="s">
        <v>63</v>
      </c>
      <c r="F145" s="6" t="s">
        <v>411</v>
      </c>
      <c r="G145" s="6"/>
    </row>
    <row r="146" spans="1:7" ht="14.25" customHeight="1" x14ac:dyDescent="0.3">
      <c r="A146" s="6">
        <v>153</v>
      </c>
      <c r="B146" s="6" t="s">
        <v>412</v>
      </c>
      <c r="C146" s="6" t="s">
        <v>364</v>
      </c>
      <c r="D146" s="6" t="s">
        <v>413</v>
      </c>
      <c r="E146" s="6" t="s">
        <v>63</v>
      </c>
      <c r="F146" s="6" t="s">
        <v>414</v>
      </c>
      <c r="G146" s="6" t="s">
        <v>156</v>
      </c>
    </row>
    <row r="147" spans="1:7" ht="14.25" customHeight="1" x14ac:dyDescent="0.3">
      <c r="A147" s="6">
        <v>154</v>
      </c>
      <c r="B147" s="6" t="s">
        <v>412</v>
      </c>
      <c r="C147" s="6" t="s">
        <v>364</v>
      </c>
      <c r="D147" s="6" t="s">
        <v>415</v>
      </c>
      <c r="E147" s="6" t="s">
        <v>63</v>
      </c>
      <c r="F147" s="6" t="s">
        <v>416</v>
      </c>
      <c r="G147" s="6" t="s">
        <v>156</v>
      </c>
    </row>
    <row r="148" spans="1:7" ht="14.25" customHeight="1" x14ac:dyDescent="0.3">
      <c r="A148" s="6">
        <v>155</v>
      </c>
      <c r="B148" s="6" t="s">
        <v>412</v>
      </c>
      <c r="C148" s="6" t="s">
        <v>364</v>
      </c>
      <c r="D148" s="6" t="s">
        <v>417</v>
      </c>
      <c r="E148" s="6" t="s">
        <v>63</v>
      </c>
      <c r="F148" s="6" t="s">
        <v>418</v>
      </c>
      <c r="G148" s="6" t="s">
        <v>156</v>
      </c>
    </row>
    <row r="149" spans="1:7" ht="14.25" customHeight="1" x14ac:dyDescent="0.3">
      <c r="A149" s="6">
        <v>156</v>
      </c>
      <c r="B149" s="6" t="s">
        <v>412</v>
      </c>
      <c r="C149" s="6" t="s">
        <v>364</v>
      </c>
      <c r="D149" s="6" t="s">
        <v>419</v>
      </c>
      <c r="E149" s="6" t="s">
        <v>63</v>
      </c>
      <c r="F149" s="6" t="s">
        <v>420</v>
      </c>
      <c r="G149" s="6" t="s">
        <v>156</v>
      </c>
    </row>
    <row r="150" spans="1:7" ht="14.25" customHeight="1" x14ac:dyDescent="0.3">
      <c r="A150" s="6">
        <v>157</v>
      </c>
      <c r="B150" s="6" t="s">
        <v>412</v>
      </c>
      <c r="C150" s="6" t="s">
        <v>364</v>
      </c>
      <c r="D150" s="6" t="s">
        <v>421</v>
      </c>
      <c r="E150" s="6" t="s">
        <v>63</v>
      </c>
      <c r="F150" s="6" t="s">
        <v>422</v>
      </c>
      <c r="G150" s="6" t="s">
        <v>156</v>
      </c>
    </row>
    <row r="151" spans="1:7" ht="14.25" customHeight="1" x14ac:dyDescent="0.3">
      <c r="A151" s="6">
        <v>158</v>
      </c>
      <c r="B151" s="6" t="s">
        <v>412</v>
      </c>
      <c r="C151" s="6" t="s">
        <v>364</v>
      </c>
      <c r="D151" s="6" t="s">
        <v>423</v>
      </c>
      <c r="E151" s="6" t="s">
        <v>63</v>
      </c>
      <c r="F151" s="6" t="s">
        <v>424</v>
      </c>
      <c r="G151" s="6" t="s">
        <v>156</v>
      </c>
    </row>
    <row r="152" spans="1:7" ht="14.25" customHeight="1" x14ac:dyDescent="0.3">
      <c r="A152" s="6">
        <v>159</v>
      </c>
      <c r="B152" s="6" t="s">
        <v>412</v>
      </c>
      <c r="C152" s="6" t="s">
        <v>364</v>
      </c>
      <c r="D152" s="6" t="s">
        <v>425</v>
      </c>
      <c r="E152" s="6" t="s">
        <v>63</v>
      </c>
      <c r="F152" s="6" t="s">
        <v>426</v>
      </c>
      <c r="G152" s="6" t="s">
        <v>156</v>
      </c>
    </row>
    <row r="153" spans="1:7" ht="14.25" customHeight="1" x14ac:dyDescent="0.3">
      <c r="A153" s="6">
        <v>160</v>
      </c>
      <c r="B153" s="6" t="s">
        <v>412</v>
      </c>
      <c r="C153" s="6" t="s">
        <v>364</v>
      </c>
      <c r="D153" s="6" t="s">
        <v>427</v>
      </c>
      <c r="E153" s="6" t="s">
        <v>63</v>
      </c>
      <c r="F153" s="6" t="s">
        <v>426</v>
      </c>
      <c r="G153" s="6" t="s">
        <v>156</v>
      </c>
    </row>
    <row r="154" spans="1:7" ht="14.25" customHeight="1" x14ac:dyDescent="0.3">
      <c r="A154" s="6">
        <v>161</v>
      </c>
      <c r="B154" s="6" t="s">
        <v>428</v>
      </c>
      <c r="C154" s="6" t="s">
        <v>364</v>
      </c>
      <c r="D154" s="6" t="s">
        <v>429</v>
      </c>
      <c r="E154" s="6" t="s">
        <v>63</v>
      </c>
      <c r="F154" s="6" t="s">
        <v>430</v>
      </c>
      <c r="G154" s="6" t="s">
        <v>156</v>
      </c>
    </row>
    <row r="155" spans="1:7" ht="14.25" customHeight="1" x14ac:dyDescent="0.3">
      <c r="A155" s="6">
        <v>162</v>
      </c>
      <c r="B155" s="6" t="s">
        <v>431</v>
      </c>
      <c r="C155" s="6" t="s">
        <v>364</v>
      </c>
      <c r="D155" s="6" t="s">
        <v>432</v>
      </c>
      <c r="E155" s="6" t="s">
        <v>63</v>
      </c>
      <c r="F155" s="6" t="s">
        <v>433</v>
      </c>
      <c r="G155" s="6" t="s">
        <v>156</v>
      </c>
    </row>
    <row r="156" spans="1:7" ht="14.25" customHeight="1" x14ac:dyDescent="0.3">
      <c r="A156" s="6">
        <v>163</v>
      </c>
      <c r="B156" s="6" t="s">
        <v>431</v>
      </c>
      <c r="C156" s="6" t="s">
        <v>364</v>
      </c>
      <c r="D156" s="6" t="s">
        <v>434</v>
      </c>
      <c r="E156" s="6" t="s">
        <v>63</v>
      </c>
      <c r="F156" s="6" t="s">
        <v>435</v>
      </c>
      <c r="G156" s="6" t="s">
        <v>156</v>
      </c>
    </row>
    <row r="157" spans="1:7" ht="14.25" customHeight="1" x14ac:dyDescent="0.3">
      <c r="A157" s="6">
        <v>164</v>
      </c>
      <c r="B157" s="6" t="s">
        <v>436</v>
      </c>
      <c r="C157" s="6" t="s">
        <v>364</v>
      </c>
      <c r="D157" s="6" t="s">
        <v>437</v>
      </c>
      <c r="E157" s="6" t="s">
        <v>109</v>
      </c>
      <c r="F157" s="6" t="s">
        <v>110</v>
      </c>
      <c r="G157" s="6"/>
    </row>
    <row r="158" spans="1:7" ht="14.25" customHeight="1" x14ac:dyDescent="0.3">
      <c r="A158" s="6">
        <v>165</v>
      </c>
      <c r="B158" s="6" t="s">
        <v>438</v>
      </c>
      <c r="C158" s="6" t="s">
        <v>364</v>
      </c>
      <c r="D158" s="6" t="s">
        <v>439</v>
      </c>
      <c r="E158" s="6" t="s">
        <v>109</v>
      </c>
      <c r="F158" s="6" t="s">
        <v>110</v>
      </c>
      <c r="G158" s="6"/>
    </row>
    <row r="159" spans="1:7" ht="14.25" customHeight="1" x14ac:dyDescent="0.3">
      <c r="A159" s="6">
        <v>166</v>
      </c>
      <c r="B159" s="6" t="s">
        <v>440</v>
      </c>
      <c r="C159" s="6" t="s">
        <v>364</v>
      </c>
      <c r="D159" s="6" t="s">
        <v>441</v>
      </c>
      <c r="E159" s="6" t="s">
        <v>10</v>
      </c>
      <c r="F159" s="6" t="s">
        <v>442</v>
      </c>
      <c r="G159" s="6"/>
    </row>
    <row r="160" spans="1:7" ht="14.25" customHeight="1" x14ac:dyDescent="0.3">
      <c r="A160" s="6">
        <v>167</v>
      </c>
      <c r="B160" s="6" t="s">
        <v>443</v>
      </c>
      <c r="C160" s="6" t="s">
        <v>364</v>
      </c>
      <c r="D160" s="6" t="s">
        <v>444</v>
      </c>
      <c r="E160" s="6" t="s">
        <v>10</v>
      </c>
      <c r="F160" s="6" t="s">
        <v>445</v>
      </c>
      <c r="G160" s="6"/>
    </row>
    <row r="161" spans="1:7" ht="14.25" customHeight="1" x14ac:dyDescent="0.3">
      <c r="A161" s="6">
        <v>168</v>
      </c>
      <c r="B161" s="6" t="s">
        <v>446</v>
      </c>
      <c r="C161" s="6" t="s">
        <v>364</v>
      </c>
      <c r="D161" s="7" t="s">
        <v>447</v>
      </c>
      <c r="E161" s="6" t="s">
        <v>63</v>
      </c>
      <c r="F161" s="6" t="s">
        <v>448</v>
      </c>
      <c r="G161" s="6"/>
    </row>
    <row r="162" spans="1:7" ht="14.25" customHeight="1" x14ac:dyDescent="0.3">
      <c r="A162" s="6">
        <v>169</v>
      </c>
      <c r="B162" s="6" t="s">
        <v>449</v>
      </c>
      <c r="C162" s="6" t="s">
        <v>450</v>
      </c>
      <c r="D162" s="6" t="s">
        <v>451</v>
      </c>
      <c r="E162" s="6" t="s">
        <v>63</v>
      </c>
      <c r="F162" s="6" t="s">
        <v>452</v>
      </c>
      <c r="G162" s="6"/>
    </row>
    <row r="163" spans="1:7" ht="14.25" customHeight="1" x14ac:dyDescent="0.3">
      <c r="A163" s="6">
        <v>170</v>
      </c>
      <c r="B163" s="6" t="s">
        <v>453</v>
      </c>
      <c r="C163" s="6" t="s">
        <v>450</v>
      </c>
      <c r="D163" s="6" t="s">
        <v>454</v>
      </c>
      <c r="E163" s="6" t="s">
        <v>63</v>
      </c>
      <c r="F163" s="6" t="s">
        <v>455</v>
      </c>
      <c r="G163" s="6"/>
    </row>
    <row r="164" spans="1:7" ht="14.25" customHeight="1" x14ac:dyDescent="0.3">
      <c r="A164" s="6">
        <v>171</v>
      </c>
      <c r="B164" s="6" t="s">
        <v>456</v>
      </c>
      <c r="C164" s="6" t="s">
        <v>450</v>
      </c>
      <c r="D164" s="6" t="s">
        <v>457</v>
      </c>
      <c r="E164" s="6" t="s">
        <v>63</v>
      </c>
      <c r="F164" s="6" t="s">
        <v>458</v>
      </c>
      <c r="G164" s="6"/>
    </row>
    <row r="165" spans="1:7" ht="14.25" customHeight="1" x14ac:dyDescent="0.3">
      <c r="A165" s="6">
        <v>172</v>
      </c>
      <c r="B165" s="6" t="s">
        <v>459</v>
      </c>
      <c r="C165" s="6" t="s">
        <v>450</v>
      </c>
      <c r="D165" s="6" t="s">
        <v>460</v>
      </c>
      <c r="E165" s="6" t="s">
        <v>63</v>
      </c>
      <c r="F165" s="6" t="s">
        <v>461</v>
      </c>
      <c r="G165" s="6"/>
    </row>
    <row r="166" spans="1:7" ht="14.25" customHeight="1" x14ac:dyDescent="0.3">
      <c r="A166" s="6">
        <v>173</v>
      </c>
      <c r="B166" s="6" t="s">
        <v>462</v>
      </c>
      <c r="C166" s="6" t="s">
        <v>450</v>
      </c>
      <c r="D166" s="6" t="s">
        <v>463</v>
      </c>
      <c r="E166" s="6" t="s">
        <v>63</v>
      </c>
      <c r="F166" s="6" t="s">
        <v>464</v>
      </c>
      <c r="G166" s="6"/>
    </row>
    <row r="167" spans="1:7" ht="14.25" customHeight="1" x14ac:dyDescent="0.3">
      <c r="A167" s="6">
        <v>174</v>
      </c>
      <c r="B167" s="6" t="s">
        <v>465</v>
      </c>
      <c r="C167" s="6" t="s">
        <v>450</v>
      </c>
      <c r="D167" s="6" t="s">
        <v>466</v>
      </c>
      <c r="E167" s="6" t="s">
        <v>63</v>
      </c>
      <c r="F167" s="7" t="s">
        <v>467</v>
      </c>
      <c r="G167" s="6"/>
    </row>
    <row r="168" spans="1:7" ht="14.25" customHeight="1" x14ac:dyDescent="0.3">
      <c r="A168" s="6">
        <v>175</v>
      </c>
      <c r="B168" s="6" t="s">
        <v>468</v>
      </c>
      <c r="C168" s="6" t="s">
        <v>450</v>
      </c>
      <c r="D168" s="6" t="s">
        <v>469</v>
      </c>
      <c r="E168" s="6" t="s">
        <v>63</v>
      </c>
      <c r="F168" s="6" t="s">
        <v>470</v>
      </c>
      <c r="G168" s="6"/>
    </row>
    <row r="169" spans="1:7" ht="14.25" customHeight="1" x14ac:dyDescent="0.3">
      <c r="A169" s="6">
        <v>176</v>
      </c>
      <c r="B169" s="6" t="s">
        <v>471</v>
      </c>
      <c r="C169" s="6" t="s">
        <v>450</v>
      </c>
      <c r="D169" s="6" t="s">
        <v>472</v>
      </c>
      <c r="E169" s="6" t="s">
        <v>63</v>
      </c>
      <c r="F169" s="6" t="s">
        <v>473</v>
      </c>
      <c r="G169" s="6"/>
    </row>
    <row r="170" spans="1:7" ht="14.25" customHeight="1" x14ac:dyDescent="0.3">
      <c r="A170" s="6">
        <v>177</v>
      </c>
      <c r="B170" s="6" t="s">
        <v>474</v>
      </c>
      <c r="C170" s="6" t="s">
        <v>450</v>
      </c>
      <c r="D170" s="6" t="s">
        <v>475</v>
      </c>
      <c r="E170" s="6" t="s">
        <v>10</v>
      </c>
      <c r="F170" s="6" t="s">
        <v>476</v>
      </c>
      <c r="G170" s="6"/>
    </row>
    <row r="171" spans="1:7" ht="14.25" customHeight="1" x14ac:dyDescent="0.3">
      <c r="A171" s="6">
        <v>178</v>
      </c>
      <c r="B171" s="6" t="s">
        <v>477</v>
      </c>
      <c r="C171" s="6" t="s">
        <v>450</v>
      </c>
      <c r="D171" s="6" t="s">
        <v>478</v>
      </c>
      <c r="E171" s="6" t="s">
        <v>109</v>
      </c>
      <c r="F171" s="6" t="s">
        <v>110</v>
      </c>
      <c r="G171" s="6"/>
    </row>
    <row r="172" spans="1:7" ht="14.25" customHeight="1" x14ac:dyDescent="0.3">
      <c r="A172" s="6">
        <v>179</v>
      </c>
      <c r="B172" s="6" t="s">
        <v>479</v>
      </c>
      <c r="C172" s="6" t="s">
        <v>450</v>
      </c>
      <c r="D172" s="6" t="s">
        <v>480</v>
      </c>
      <c r="E172" s="6" t="s">
        <v>10</v>
      </c>
      <c r="F172" s="6">
        <v>17899</v>
      </c>
      <c r="G172" s="6"/>
    </row>
    <row r="173" spans="1:7" ht="14.25" customHeight="1" x14ac:dyDescent="0.3">
      <c r="A173" s="6">
        <v>180</v>
      </c>
      <c r="B173" s="6" t="s">
        <v>1348</v>
      </c>
      <c r="C173" s="6" t="s">
        <v>450</v>
      </c>
      <c r="D173" s="6" t="s">
        <v>481</v>
      </c>
      <c r="E173" s="6" t="s">
        <v>10</v>
      </c>
      <c r="F173" s="6">
        <v>16</v>
      </c>
      <c r="G173" s="6"/>
    </row>
    <row r="174" spans="1:7" ht="14.25" customHeight="1" x14ac:dyDescent="0.3">
      <c r="A174" s="6">
        <v>181</v>
      </c>
      <c r="B174" s="6" t="s">
        <v>1349</v>
      </c>
      <c r="C174" s="6" t="s">
        <v>450</v>
      </c>
      <c r="D174" s="6" t="s">
        <v>1350</v>
      </c>
      <c r="E174" s="6" t="s">
        <v>63</v>
      </c>
      <c r="F174" s="6" t="s">
        <v>482</v>
      </c>
      <c r="G174" s="6"/>
    </row>
    <row r="175" spans="1:7" ht="14.25" customHeight="1" x14ac:dyDescent="0.3">
      <c r="A175" s="6">
        <v>182</v>
      </c>
      <c r="B175" s="6" t="s">
        <v>483</v>
      </c>
      <c r="C175" s="6" t="s">
        <v>450</v>
      </c>
      <c r="D175" s="6" t="s">
        <v>484</v>
      </c>
      <c r="E175" s="6" t="s">
        <v>63</v>
      </c>
      <c r="F175" s="6" t="s">
        <v>485</v>
      </c>
      <c r="G175" s="6"/>
    </row>
    <row r="176" spans="1:7" ht="14.25" customHeight="1" x14ac:dyDescent="0.3">
      <c r="A176" s="6">
        <v>183</v>
      </c>
      <c r="B176" s="6" t="s">
        <v>1351</v>
      </c>
      <c r="C176" s="6" t="s">
        <v>450</v>
      </c>
      <c r="D176" s="6" t="s">
        <v>1352</v>
      </c>
      <c r="E176" s="6" t="s">
        <v>63</v>
      </c>
      <c r="F176" s="6" t="s">
        <v>486</v>
      </c>
      <c r="G176" s="6"/>
    </row>
    <row r="177" spans="1:7" ht="14.25" customHeight="1" x14ac:dyDescent="0.3">
      <c r="A177" s="6">
        <v>184</v>
      </c>
      <c r="B177" s="6" t="s">
        <v>487</v>
      </c>
      <c r="C177" s="6" t="s">
        <v>450</v>
      </c>
      <c r="D177" s="6" t="s">
        <v>1353</v>
      </c>
      <c r="E177" s="6" t="s">
        <v>63</v>
      </c>
      <c r="F177" s="6" t="s">
        <v>488</v>
      </c>
      <c r="G177" s="6"/>
    </row>
    <row r="178" spans="1:7" ht="14.25" customHeight="1" x14ac:dyDescent="0.3">
      <c r="A178" s="6">
        <v>185</v>
      </c>
      <c r="B178" s="6" t="s">
        <v>489</v>
      </c>
      <c r="C178" s="6" t="s">
        <v>450</v>
      </c>
      <c r="D178" s="6" t="s">
        <v>490</v>
      </c>
      <c r="E178" s="6" t="s">
        <v>63</v>
      </c>
      <c r="F178" s="9" t="s">
        <v>491</v>
      </c>
      <c r="G178" s="6" t="s">
        <v>156</v>
      </c>
    </row>
    <row r="179" spans="1:7" ht="14.25" customHeight="1" x14ac:dyDescent="0.3">
      <c r="A179" s="6">
        <v>186</v>
      </c>
      <c r="B179" s="6" t="s">
        <v>489</v>
      </c>
      <c r="C179" s="6" t="s">
        <v>450</v>
      </c>
      <c r="D179" s="6" t="s">
        <v>492</v>
      </c>
      <c r="E179" s="6" t="s">
        <v>63</v>
      </c>
      <c r="F179" s="6" t="s">
        <v>493</v>
      </c>
      <c r="G179" s="6" t="s">
        <v>156</v>
      </c>
    </row>
    <row r="180" spans="1:7" ht="14.25" customHeight="1" x14ac:dyDescent="0.3">
      <c r="A180" s="6">
        <v>187</v>
      </c>
      <c r="B180" s="6" t="s">
        <v>489</v>
      </c>
      <c r="C180" s="6" t="s">
        <v>450</v>
      </c>
      <c r="D180" s="6" t="s">
        <v>494</v>
      </c>
      <c r="E180" s="6" t="s">
        <v>63</v>
      </c>
      <c r="F180" s="6" t="s">
        <v>495</v>
      </c>
      <c r="G180" s="6" t="s">
        <v>156</v>
      </c>
    </row>
    <row r="181" spans="1:7" ht="14.25" customHeight="1" x14ac:dyDescent="0.3">
      <c r="A181" s="6">
        <v>188</v>
      </c>
      <c r="B181" s="6" t="s">
        <v>489</v>
      </c>
      <c r="C181" s="6" t="s">
        <v>450</v>
      </c>
      <c r="D181" s="6" t="s">
        <v>496</v>
      </c>
      <c r="E181" s="6" t="s">
        <v>63</v>
      </c>
      <c r="F181" s="6" t="s">
        <v>497</v>
      </c>
      <c r="G181" s="6" t="s">
        <v>156</v>
      </c>
    </row>
    <row r="182" spans="1:7" ht="14.25" customHeight="1" x14ac:dyDescent="0.3">
      <c r="A182" s="6">
        <v>189</v>
      </c>
      <c r="B182" s="6" t="s">
        <v>489</v>
      </c>
      <c r="C182" s="6" t="s">
        <v>450</v>
      </c>
      <c r="D182" s="6" t="s">
        <v>498</v>
      </c>
      <c r="E182" s="6" t="s">
        <v>63</v>
      </c>
      <c r="F182" s="6" t="s">
        <v>499</v>
      </c>
      <c r="G182" s="6" t="s">
        <v>156</v>
      </c>
    </row>
    <row r="183" spans="1:7" ht="14.25" customHeight="1" x14ac:dyDescent="0.3">
      <c r="A183" s="6">
        <v>190</v>
      </c>
      <c r="B183" s="6" t="s">
        <v>500</v>
      </c>
      <c r="C183" s="6" t="s">
        <v>450</v>
      </c>
      <c r="D183" s="6" t="s">
        <v>501</v>
      </c>
      <c r="E183" s="6" t="s">
        <v>63</v>
      </c>
      <c r="F183" s="6" t="s">
        <v>502</v>
      </c>
      <c r="G183" s="6"/>
    </row>
    <row r="184" spans="1:7" ht="14.25" customHeight="1" x14ac:dyDescent="0.3">
      <c r="A184" s="6">
        <v>191</v>
      </c>
      <c r="B184" s="6" t="s">
        <v>503</v>
      </c>
      <c r="C184" s="6" t="s">
        <v>450</v>
      </c>
      <c r="D184" s="6" t="s">
        <v>504</v>
      </c>
      <c r="E184" s="6" t="s">
        <v>63</v>
      </c>
      <c r="F184" s="6" t="s">
        <v>505</v>
      </c>
      <c r="G184" s="6"/>
    </row>
    <row r="185" spans="1:7" ht="14.25" customHeight="1" x14ac:dyDescent="0.3">
      <c r="A185" s="6">
        <v>192</v>
      </c>
      <c r="B185" s="6" t="s">
        <v>506</v>
      </c>
      <c r="C185" s="6" t="s">
        <v>450</v>
      </c>
      <c r="D185" s="6" t="s">
        <v>507</v>
      </c>
      <c r="E185" s="6" t="s">
        <v>63</v>
      </c>
      <c r="F185" s="6" t="s">
        <v>508</v>
      </c>
      <c r="G185" s="6"/>
    </row>
    <row r="186" spans="1:7" ht="14.25" customHeight="1" x14ac:dyDescent="0.3">
      <c r="A186" s="6">
        <v>193</v>
      </c>
      <c r="B186" s="6" t="s">
        <v>509</v>
      </c>
      <c r="C186" s="6" t="s">
        <v>8</v>
      </c>
      <c r="D186" s="6" t="s">
        <v>510</v>
      </c>
      <c r="E186" s="6" t="s">
        <v>10</v>
      </c>
      <c r="F186" s="6" t="s">
        <v>511</v>
      </c>
      <c r="G186" s="6"/>
    </row>
    <row r="187" spans="1:7" ht="14.25" customHeight="1" x14ac:dyDescent="0.3">
      <c r="A187" s="6">
        <v>194</v>
      </c>
      <c r="B187" s="6" t="s">
        <v>512</v>
      </c>
      <c r="C187" s="6" t="s">
        <v>8</v>
      </c>
      <c r="D187" s="6" t="s">
        <v>513</v>
      </c>
      <c r="E187" s="6" t="s">
        <v>10</v>
      </c>
      <c r="F187" s="6" t="s">
        <v>514</v>
      </c>
      <c r="G187" s="6"/>
    </row>
    <row r="188" spans="1:7" ht="14.25" customHeight="1" x14ac:dyDescent="0.3">
      <c r="A188" s="6">
        <v>195</v>
      </c>
      <c r="B188" s="6" t="s">
        <v>515</v>
      </c>
      <c r="C188" s="6" t="s">
        <v>8</v>
      </c>
      <c r="D188" s="6" t="s">
        <v>516</v>
      </c>
      <c r="E188" s="6" t="s">
        <v>10</v>
      </c>
      <c r="F188" s="6" t="s">
        <v>517</v>
      </c>
      <c r="G188" s="6"/>
    </row>
    <row r="189" spans="1:7" ht="14.25" customHeight="1" x14ac:dyDescent="0.3">
      <c r="A189" s="6">
        <v>196</v>
      </c>
      <c r="B189" s="6" t="s">
        <v>518</v>
      </c>
      <c r="C189" s="6" t="s">
        <v>8</v>
      </c>
      <c r="D189" s="6" t="s">
        <v>519</v>
      </c>
      <c r="E189" s="6" t="s">
        <v>10</v>
      </c>
      <c r="F189" s="6" t="s">
        <v>520</v>
      </c>
      <c r="G189" s="6"/>
    </row>
    <row r="190" spans="1:7" ht="14.25" customHeight="1" x14ac:dyDescent="0.3">
      <c r="A190" s="6">
        <v>197</v>
      </c>
      <c r="B190" s="6" t="s">
        <v>521</v>
      </c>
      <c r="C190" s="6" t="s">
        <v>8</v>
      </c>
      <c r="D190" s="6" t="s">
        <v>522</v>
      </c>
      <c r="E190" s="6" t="s">
        <v>10</v>
      </c>
      <c r="F190" s="6" t="s">
        <v>523</v>
      </c>
      <c r="G190" s="6"/>
    </row>
    <row r="191" spans="1:7" ht="14.25" customHeight="1" x14ac:dyDescent="0.3">
      <c r="A191" s="6">
        <v>198</v>
      </c>
      <c r="B191" s="6" t="s">
        <v>524</v>
      </c>
      <c r="C191" s="6" t="s">
        <v>8</v>
      </c>
      <c r="D191" s="6" t="s">
        <v>525</v>
      </c>
      <c r="E191" s="6" t="s">
        <v>10</v>
      </c>
      <c r="F191" s="6" t="s">
        <v>526</v>
      </c>
      <c r="G191" s="6"/>
    </row>
    <row r="192" spans="1:7" ht="14.25" customHeight="1" x14ac:dyDescent="0.3">
      <c r="A192" s="6">
        <v>199</v>
      </c>
      <c r="B192" s="6" t="s">
        <v>527</v>
      </c>
      <c r="C192" s="6" t="s">
        <v>8</v>
      </c>
      <c r="D192" s="6" t="s">
        <v>528</v>
      </c>
      <c r="E192" s="6" t="s">
        <v>63</v>
      </c>
      <c r="F192" s="6" t="s">
        <v>529</v>
      </c>
      <c r="G192" s="6"/>
    </row>
    <row r="193" spans="1:7" ht="14.25" customHeight="1" x14ac:dyDescent="0.3">
      <c r="A193" s="6">
        <v>200</v>
      </c>
      <c r="B193" s="6" t="s">
        <v>530</v>
      </c>
      <c r="C193" s="6" t="s">
        <v>8</v>
      </c>
      <c r="D193" s="6" t="s">
        <v>531</v>
      </c>
      <c r="E193" s="6" t="s">
        <v>10</v>
      </c>
      <c r="F193" s="6" t="s">
        <v>532</v>
      </c>
      <c r="G193" s="6"/>
    </row>
    <row r="194" spans="1:7" ht="14.25" customHeight="1" x14ac:dyDescent="0.3">
      <c r="A194" s="6">
        <v>201</v>
      </c>
      <c r="B194" s="6" t="s">
        <v>533</v>
      </c>
      <c r="C194" s="6" t="s">
        <v>8</v>
      </c>
      <c r="D194" s="6" t="s">
        <v>534</v>
      </c>
      <c r="E194" s="6" t="s">
        <v>109</v>
      </c>
      <c r="F194" s="6" t="s">
        <v>110</v>
      </c>
      <c r="G194" s="6"/>
    </row>
    <row r="195" spans="1:7" ht="14.25" customHeight="1" x14ac:dyDescent="0.3">
      <c r="A195" s="6">
        <v>202</v>
      </c>
      <c r="B195" s="6" t="s">
        <v>533</v>
      </c>
      <c r="C195" s="6" t="s">
        <v>8</v>
      </c>
      <c r="D195" s="6" t="s">
        <v>535</v>
      </c>
      <c r="E195" s="6" t="s">
        <v>109</v>
      </c>
      <c r="F195" s="6" t="s">
        <v>163</v>
      </c>
      <c r="G195" s="6" t="s">
        <v>156</v>
      </c>
    </row>
    <row r="196" spans="1:7" ht="14.25" customHeight="1" x14ac:dyDescent="0.3">
      <c r="A196" s="6">
        <v>203</v>
      </c>
      <c r="B196" s="6" t="s">
        <v>533</v>
      </c>
      <c r="C196" s="6" t="s">
        <v>8</v>
      </c>
      <c r="D196" s="6" t="s">
        <v>536</v>
      </c>
      <c r="E196" s="6" t="s">
        <v>109</v>
      </c>
      <c r="F196" s="6" t="s">
        <v>110</v>
      </c>
      <c r="G196" s="6" t="s">
        <v>156</v>
      </c>
    </row>
    <row r="197" spans="1:7" ht="14.25" customHeight="1" x14ac:dyDescent="0.3">
      <c r="A197" s="6">
        <v>204</v>
      </c>
      <c r="B197" s="6" t="s">
        <v>533</v>
      </c>
      <c r="C197" s="6" t="s">
        <v>8</v>
      </c>
      <c r="D197" s="6" t="s">
        <v>537</v>
      </c>
      <c r="E197" s="6" t="s">
        <v>109</v>
      </c>
      <c r="F197" s="6" t="s">
        <v>110</v>
      </c>
      <c r="G197" s="6" t="s">
        <v>156</v>
      </c>
    </row>
    <row r="198" spans="1:7" ht="14.25" customHeight="1" x14ac:dyDescent="0.3">
      <c r="A198" s="6">
        <v>205</v>
      </c>
      <c r="B198" s="6" t="s">
        <v>533</v>
      </c>
      <c r="C198" s="6" t="s">
        <v>8</v>
      </c>
      <c r="D198" s="6" t="s">
        <v>538</v>
      </c>
      <c r="E198" s="6" t="s">
        <v>109</v>
      </c>
      <c r="F198" s="6" t="s">
        <v>163</v>
      </c>
      <c r="G198" s="6" t="s">
        <v>156</v>
      </c>
    </row>
    <row r="199" spans="1:7" ht="14.25" customHeight="1" x14ac:dyDescent="0.3">
      <c r="A199" s="6">
        <v>206</v>
      </c>
      <c r="B199" s="6" t="s">
        <v>533</v>
      </c>
      <c r="C199" s="6" t="s">
        <v>8</v>
      </c>
      <c r="D199" s="6" t="s">
        <v>539</v>
      </c>
      <c r="E199" s="6" t="s">
        <v>109</v>
      </c>
      <c r="F199" s="6" t="s">
        <v>110</v>
      </c>
      <c r="G199" s="6" t="s">
        <v>156</v>
      </c>
    </row>
    <row r="200" spans="1:7" ht="14.25" customHeight="1" x14ac:dyDescent="0.3">
      <c r="A200" s="6">
        <v>207</v>
      </c>
      <c r="B200" s="6" t="s">
        <v>540</v>
      </c>
      <c r="C200" s="6" t="s">
        <v>8</v>
      </c>
      <c r="D200" s="6" t="s">
        <v>541</v>
      </c>
      <c r="E200" s="6" t="s">
        <v>109</v>
      </c>
      <c r="F200" s="6" t="s">
        <v>163</v>
      </c>
      <c r="G200" s="6" t="s">
        <v>156</v>
      </c>
    </row>
    <row r="201" spans="1:7" ht="14.25" customHeight="1" x14ac:dyDescent="0.3">
      <c r="A201" s="6">
        <v>208</v>
      </c>
      <c r="B201" s="6" t="s">
        <v>533</v>
      </c>
      <c r="C201" s="6" t="s">
        <v>8</v>
      </c>
      <c r="D201" s="6" t="s">
        <v>542</v>
      </c>
      <c r="E201" s="6" t="s">
        <v>109</v>
      </c>
      <c r="F201" s="6" t="s">
        <v>110</v>
      </c>
      <c r="G201" s="6" t="s">
        <v>156</v>
      </c>
    </row>
    <row r="202" spans="1:7" ht="14.25" customHeight="1" x14ac:dyDescent="0.3">
      <c r="A202" s="6">
        <v>209</v>
      </c>
      <c r="B202" s="6" t="s">
        <v>543</v>
      </c>
      <c r="C202" s="6" t="s">
        <v>8</v>
      </c>
      <c r="D202" s="6" t="s">
        <v>544</v>
      </c>
      <c r="E202" s="6" t="s">
        <v>49</v>
      </c>
      <c r="F202" s="6" t="s">
        <v>545</v>
      </c>
      <c r="G202" s="6" t="s">
        <v>156</v>
      </c>
    </row>
    <row r="203" spans="1:7" ht="14.25" customHeight="1" x14ac:dyDescent="0.3">
      <c r="A203" s="6">
        <v>210</v>
      </c>
      <c r="B203" s="6" t="s">
        <v>543</v>
      </c>
      <c r="C203" s="6" t="s">
        <v>8</v>
      </c>
      <c r="D203" s="6" t="s">
        <v>546</v>
      </c>
      <c r="E203" s="6" t="s">
        <v>49</v>
      </c>
      <c r="F203" s="6" t="s">
        <v>547</v>
      </c>
      <c r="G203" s="6" t="s">
        <v>156</v>
      </c>
    </row>
    <row r="204" spans="1:7" ht="14.25" customHeight="1" x14ac:dyDescent="0.3">
      <c r="A204" s="6">
        <v>211</v>
      </c>
      <c r="B204" s="6" t="s">
        <v>543</v>
      </c>
      <c r="C204" s="6" t="s">
        <v>8</v>
      </c>
      <c r="D204" s="6" t="s">
        <v>548</v>
      </c>
      <c r="E204" s="6" t="s">
        <v>49</v>
      </c>
      <c r="F204" s="6" t="s">
        <v>549</v>
      </c>
      <c r="G204" s="6" t="s">
        <v>156</v>
      </c>
    </row>
    <row r="205" spans="1:7" ht="14.25" customHeight="1" x14ac:dyDescent="0.3">
      <c r="A205" s="6">
        <v>212</v>
      </c>
      <c r="B205" s="6" t="s">
        <v>543</v>
      </c>
      <c r="C205" s="6" t="s">
        <v>8</v>
      </c>
      <c r="D205" s="6" t="s">
        <v>550</v>
      </c>
      <c r="E205" s="6" t="s">
        <v>49</v>
      </c>
      <c r="F205" s="6" t="s">
        <v>551</v>
      </c>
      <c r="G205" s="6" t="s">
        <v>156</v>
      </c>
    </row>
    <row r="206" spans="1:7" ht="14.25" customHeight="1" x14ac:dyDescent="0.3">
      <c r="A206" s="6">
        <v>213</v>
      </c>
      <c r="B206" s="6" t="s">
        <v>543</v>
      </c>
      <c r="C206" s="6" t="s">
        <v>8</v>
      </c>
      <c r="D206" s="6" t="s">
        <v>552</v>
      </c>
      <c r="E206" s="6" t="s">
        <v>49</v>
      </c>
      <c r="F206" s="6" t="s">
        <v>553</v>
      </c>
      <c r="G206" s="6" t="s">
        <v>156</v>
      </c>
    </row>
    <row r="207" spans="1:7" ht="14.25" customHeight="1" x14ac:dyDescent="0.3">
      <c r="A207" s="6">
        <v>214</v>
      </c>
      <c r="B207" s="6" t="s">
        <v>543</v>
      </c>
      <c r="C207" s="6" t="s">
        <v>8</v>
      </c>
      <c r="D207" s="6" t="s">
        <v>554</v>
      </c>
      <c r="E207" s="6" t="s">
        <v>49</v>
      </c>
      <c r="F207" s="6" t="s">
        <v>555</v>
      </c>
      <c r="G207" s="6" t="s">
        <v>156</v>
      </c>
    </row>
    <row r="208" spans="1:7" ht="14.25" customHeight="1" x14ac:dyDescent="0.3">
      <c r="A208" s="6">
        <v>215</v>
      </c>
      <c r="B208" s="6" t="s">
        <v>543</v>
      </c>
      <c r="C208" s="6" t="s">
        <v>8</v>
      </c>
      <c r="D208" s="6" t="s">
        <v>556</v>
      </c>
      <c r="E208" s="6" t="s">
        <v>49</v>
      </c>
      <c r="F208" s="6" t="s">
        <v>557</v>
      </c>
      <c r="G208" s="6" t="s">
        <v>156</v>
      </c>
    </row>
    <row r="209" spans="1:7" ht="14.25" customHeight="1" x14ac:dyDescent="0.3">
      <c r="A209" s="6">
        <v>216</v>
      </c>
      <c r="B209" s="6" t="s">
        <v>543</v>
      </c>
      <c r="C209" s="6" t="s">
        <v>8</v>
      </c>
      <c r="D209" s="6" t="s">
        <v>558</v>
      </c>
      <c r="E209" s="6" t="s">
        <v>49</v>
      </c>
      <c r="F209" s="6" t="s">
        <v>559</v>
      </c>
      <c r="G209" s="6" t="s">
        <v>156</v>
      </c>
    </row>
    <row r="210" spans="1:7" ht="14.25" customHeight="1" x14ac:dyDescent="0.3">
      <c r="A210" s="6">
        <v>217</v>
      </c>
      <c r="B210" s="6" t="s">
        <v>560</v>
      </c>
      <c r="C210" s="6" t="s">
        <v>450</v>
      </c>
      <c r="D210" s="6">
        <v>-32</v>
      </c>
      <c r="E210" s="6" t="s">
        <v>10</v>
      </c>
      <c r="F210" s="9">
        <v>-32</v>
      </c>
      <c r="G210" s="6" t="s">
        <v>156</v>
      </c>
    </row>
    <row r="211" spans="1:7" ht="14.25" customHeight="1" x14ac:dyDescent="0.3">
      <c r="A211" s="6">
        <v>218</v>
      </c>
      <c r="B211" s="6" t="s">
        <v>561</v>
      </c>
      <c r="C211" s="6" t="s">
        <v>450</v>
      </c>
      <c r="D211" s="6">
        <v>154</v>
      </c>
      <c r="E211" s="6" t="s">
        <v>10</v>
      </c>
      <c r="F211" s="9">
        <v>154</v>
      </c>
      <c r="G211" s="6"/>
    </row>
    <row r="212" spans="1:7" ht="14.25" customHeight="1" x14ac:dyDescent="0.3">
      <c r="A212" s="6">
        <v>219</v>
      </c>
      <c r="B212" s="6" t="s">
        <v>562</v>
      </c>
      <c r="C212" s="6" t="s">
        <v>450</v>
      </c>
      <c r="D212" s="6" t="s">
        <v>563</v>
      </c>
      <c r="E212" s="6" t="s">
        <v>10</v>
      </c>
      <c r="F212" s="9">
        <f>-1/7</f>
        <v>-0.14285714285714285</v>
      </c>
      <c r="G212" s="6"/>
    </row>
    <row r="213" spans="1:7" ht="14.25" customHeight="1" x14ac:dyDescent="0.3">
      <c r="A213" s="6">
        <v>220</v>
      </c>
      <c r="B213" s="6" t="s">
        <v>564</v>
      </c>
      <c r="C213" s="6" t="s">
        <v>450</v>
      </c>
      <c r="D213" s="6">
        <v>11</v>
      </c>
      <c r="E213" s="6" t="s">
        <v>10</v>
      </c>
      <c r="F213" s="9">
        <v>11</v>
      </c>
      <c r="G213" s="6"/>
    </row>
    <row r="214" spans="1:7" ht="14.25" customHeight="1" x14ac:dyDescent="0.3">
      <c r="A214" s="6">
        <v>221</v>
      </c>
      <c r="B214" s="6" t="s">
        <v>565</v>
      </c>
      <c r="C214" s="6" t="s">
        <v>450</v>
      </c>
      <c r="D214" s="6" t="s">
        <v>1375</v>
      </c>
      <c r="E214" s="6" t="s">
        <v>10</v>
      </c>
      <c r="F214" s="9" t="s">
        <v>1375</v>
      </c>
      <c r="G214" s="6"/>
    </row>
    <row r="215" spans="1:7" ht="14.25" customHeight="1" x14ac:dyDescent="0.3">
      <c r="A215" s="6">
        <v>222</v>
      </c>
      <c r="B215" s="6" t="s">
        <v>566</v>
      </c>
      <c r="C215" s="6" t="s">
        <v>450</v>
      </c>
      <c r="D215" s="6">
        <v>-0.3</v>
      </c>
      <c r="E215" s="6" t="s">
        <v>10</v>
      </c>
      <c r="F215" s="9">
        <v>-0.3</v>
      </c>
      <c r="G215" s="6"/>
    </row>
    <row r="216" spans="1:7" ht="14.25" customHeight="1" x14ac:dyDescent="0.3">
      <c r="A216" s="6">
        <v>223</v>
      </c>
      <c r="B216" s="6" t="s">
        <v>567</v>
      </c>
      <c r="C216" s="6" t="s">
        <v>450</v>
      </c>
      <c r="D216" s="6">
        <v>-5.5555555999999999E-2</v>
      </c>
      <c r="E216" s="6" t="s">
        <v>10</v>
      </c>
      <c r="F216" s="9">
        <f>-1/18</f>
        <v>-5.5555555555555552E-2</v>
      </c>
      <c r="G216" s="6"/>
    </row>
    <row r="217" spans="1:7" ht="14.25" customHeight="1" x14ac:dyDescent="0.3">
      <c r="A217" s="6">
        <v>224</v>
      </c>
      <c r="B217" s="6" t="s">
        <v>568</v>
      </c>
      <c r="C217" s="6" t="s">
        <v>450</v>
      </c>
      <c r="D217" s="6" t="s">
        <v>569</v>
      </c>
      <c r="E217" s="6" t="s">
        <v>10</v>
      </c>
      <c r="F217" s="9" t="s">
        <v>1374</v>
      </c>
      <c r="G217" s="6"/>
    </row>
    <row r="218" spans="1:7" ht="14.25" customHeight="1" x14ac:dyDescent="0.3">
      <c r="A218" s="6">
        <v>225</v>
      </c>
      <c r="B218" s="6" t="s">
        <v>570</v>
      </c>
      <c r="C218" s="6" t="s">
        <v>8</v>
      </c>
      <c r="D218" s="6" t="s">
        <v>571</v>
      </c>
      <c r="E218" s="6" t="s">
        <v>63</v>
      </c>
      <c r="F218" s="6" t="s">
        <v>572</v>
      </c>
      <c r="G218" s="6"/>
    </row>
    <row r="219" spans="1:7" ht="14.25" customHeight="1" x14ac:dyDescent="0.3">
      <c r="A219" s="6">
        <v>226</v>
      </c>
      <c r="B219" s="6" t="s">
        <v>573</v>
      </c>
      <c r="C219" s="6" t="s">
        <v>8</v>
      </c>
      <c r="D219" s="6" t="s">
        <v>574</v>
      </c>
      <c r="E219" s="6" t="s">
        <v>63</v>
      </c>
      <c r="F219" s="6" t="s">
        <v>575</v>
      </c>
      <c r="G219" s="6"/>
    </row>
    <row r="220" spans="1:7" ht="14.25" customHeight="1" x14ac:dyDescent="0.3">
      <c r="A220" s="6">
        <v>227</v>
      </c>
      <c r="B220" s="6" t="s">
        <v>576</v>
      </c>
      <c r="C220" s="6" t="s">
        <v>8</v>
      </c>
      <c r="D220" s="6" t="s">
        <v>577</v>
      </c>
      <c r="E220" s="6" t="s">
        <v>63</v>
      </c>
      <c r="F220" s="6" t="s">
        <v>578</v>
      </c>
      <c r="G220" s="6" t="s">
        <v>156</v>
      </c>
    </row>
    <row r="221" spans="1:7" ht="14.25" customHeight="1" x14ac:dyDescent="0.3">
      <c r="A221" s="6">
        <v>228</v>
      </c>
      <c r="B221" s="6" t="s">
        <v>576</v>
      </c>
      <c r="C221" s="6" t="s">
        <v>8</v>
      </c>
      <c r="D221" s="6" t="s">
        <v>579</v>
      </c>
      <c r="E221" s="6" t="s">
        <v>63</v>
      </c>
      <c r="F221" s="6"/>
      <c r="G221" s="6" t="s">
        <v>156</v>
      </c>
    </row>
    <row r="222" spans="1:7" ht="14.25" customHeight="1" x14ac:dyDescent="0.3">
      <c r="A222" s="6">
        <v>229</v>
      </c>
      <c r="B222" s="6" t="s">
        <v>580</v>
      </c>
      <c r="C222" s="6" t="s">
        <v>8</v>
      </c>
      <c r="D222" s="6" t="s">
        <v>581</v>
      </c>
      <c r="E222" s="6" t="s">
        <v>10</v>
      </c>
      <c r="F222" s="6">
        <v>18264</v>
      </c>
      <c r="G222" s="6"/>
    </row>
    <row r="223" spans="1:7" ht="14.25" customHeight="1" x14ac:dyDescent="0.3">
      <c r="A223" s="6">
        <v>230</v>
      </c>
      <c r="B223" s="6" t="s">
        <v>582</v>
      </c>
      <c r="C223" s="6" t="s">
        <v>8</v>
      </c>
      <c r="D223" s="6" t="s">
        <v>583</v>
      </c>
      <c r="E223" s="6" t="s">
        <v>10</v>
      </c>
      <c r="F223" s="6"/>
      <c r="G223" s="6" t="s">
        <v>156</v>
      </c>
    </row>
    <row r="224" spans="1:7" ht="14.25" customHeight="1" x14ac:dyDescent="0.3">
      <c r="A224" s="6">
        <v>231</v>
      </c>
      <c r="B224" s="6" t="s">
        <v>584</v>
      </c>
      <c r="C224" s="6" t="s">
        <v>8</v>
      </c>
      <c r="D224" s="6" t="s">
        <v>585</v>
      </c>
      <c r="E224" s="6" t="s">
        <v>10</v>
      </c>
      <c r="F224" s="10">
        <v>1132254</v>
      </c>
      <c r="G224" s="6"/>
    </row>
    <row r="225" spans="1:7" ht="14.25" customHeight="1" x14ac:dyDescent="0.3">
      <c r="A225" s="6">
        <v>232</v>
      </c>
      <c r="B225" s="6" t="s">
        <v>586</v>
      </c>
      <c r="C225" s="6" t="s">
        <v>8</v>
      </c>
      <c r="D225" s="6" t="s">
        <v>587</v>
      </c>
      <c r="E225" s="6" t="s">
        <v>10</v>
      </c>
      <c r="F225" s="6">
        <v>3000</v>
      </c>
      <c r="G225" s="6"/>
    </row>
    <row r="226" spans="1:7" ht="14.25" customHeight="1" x14ac:dyDescent="0.3">
      <c r="A226" s="6">
        <v>233</v>
      </c>
      <c r="B226" s="6" t="s">
        <v>588</v>
      </c>
      <c r="C226" s="6" t="s">
        <v>589</v>
      </c>
      <c r="D226" s="6" t="s">
        <v>590</v>
      </c>
      <c r="E226" s="6" t="s">
        <v>591</v>
      </c>
      <c r="F226" s="6" t="s">
        <v>592</v>
      </c>
      <c r="G226" s="6"/>
    </row>
    <row r="227" spans="1:7" ht="14.25" customHeight="1" x14ac:dyDescent="0.3">
      <c r="A227" s="6">
        <v>234</v>
      </c>
      <c r="B227" s="6" t="s">
        <v>593</v>
      </c>
      <c r="C227" s="6" t="s">
        <v>589</v>
      </c>
      <c r="D227" s="6" t="s">
        <v>594</v>
      </c>
      <c r="E227" s="6" t="s">
        <v>591</v>
      </c>
      <c r="F227" s="6" t="s">
        <v>595</v>
      </c>
      <c r="G227" s="6"/>
    </row>
    <row r="228" spans="1:7" ht="14.25" customHeight="1" x14ac:dyDescent="0.3">
      <c r="A228" s="6">
        <v>235</v>
      </c>
      <c r="B228" s="6" t="s">
        <v>596</v>
      </c>
      <c r="C228" s="6" t="s">
        <v>589</v>
      </c>
      <c r="D228" s="6" t="s">
        <v>597</v>
      </c>
      <c r="E228" s="6" t="s">
        <v>591</v>
      </c>
      <c r="F228" s="6" t="s">
        <v>598</v>
      </c>
      <c r="G228" s="6"/>
    </row>
    <row r="229" spans="1:7" ht="14.25" customHeight="1" x14ac:dyDescent="0.3">
      <c r="A229" s="6">
        <v>236</v>
      </c>
      <c r="B229" s="6" t="s">
        <v>599</v>
      </c>
      <c r="C229" s="6" t="s">
        <v>589</v>
      </c>
      <c r="D229" s="6" t="s">
        <v>600</v>
      </c>
      <c r="E229" s="6" t="s">
        <v>591</v>
      </c>
      <c r="F229" s="6" t="s">
        <v>601</v>
      </c>
      <c r="G229" s="6"/>
    </row>
    <row r="230" spans="1:7" ht="14.25" customHeight="1" x14ac:dyDescent="0.3">
      <c r="A230" s="6">
        <v>237</v>
      </c>
      <c r="B230" s="6" t="s">
        <v>602</v>
      </c>
      <c r="C230" s="6" t="s">
        <v>589</v>
      </c>
      <c r="D230" s="6" t="s">
        <v>603</v>
      </c>
      <c r="E230" s="6" t="s">
        <v>591</v>
      </c>
      <c r="F230" s="6" t="s">
        <v>604</v>
      </c>
      <c r="G230" s="6"/>
    </row>
    <row r="231" spans="1:7" ht="14.25" customHeight="1" x14ac:dyDescent="0.3">
      <c r="A231" s="6">
        <v>238</v>
      </c>
      <c r="B231" s="6" t="s">
        <v>605</v>
      </c>
      <c r="C231" s="6" t="s">
        <v>589</v>
      </c>
      <c r="D231" s="6" t="s">
        <v>606</v>
      </c>
      <c r="E231" s="6" t="s">
        <v>591</v>
      </c>
      <c r="F231" s="6" t="s">
        <v>607</v>
      </c>
      <c r="G231" s="6"/>
    </row>
    <row r="232" spans="1:7" ht="14.25" customHeight="1" x14ac:dyDescent="0.3">
      <c r="A232" s="6">
        <v>239</v>
      </c>
      <c r="B232" s="6" t="s">
        <v>608</v>
      </c>
      <c r="C232" s="6" t="s">
        <v>589</v>
      </c>
      <c r="D232" s="6" t="s">
        <v>609</v>
      </c>
      <c r="E232" s="6" t="s">
        <v>591</v>
      </c>
      <c r="F232" s="6" t="s">
        <v>610</v>
      </c>
      <c r="G232" s="6"/>
    </row>
    <row r="233" spans="1:7" ht="14.25" customHeight="1" x14ac:dyDescent="0.3">
      <c r="A233" s="6">
        <v>240</v>
      </c>
      <c r="B233" s="6" t="s">
        <v>611</v>
      </c>
      <c r="C233" s="6" t="s">
        <v>589</v>
      </c>
      <c r="D233" s="6" t="s">
        <v>612</v>
      </c>
      <c r="E233" s="6" t="s">
        <v>591</v>
      </c>
      <c r="F233" s="6" t="s">
        <v>613</v>
      </c>
      <c r="G233" s="6"/>
    </row>
    <row r="234" spans="1:7" ht="14.25" customHeight="1" x14ac:dyDescent="0.3">
      <c r="A234" s="6">
        <v>241</v>
      </c>
      <c r="B234" s="6" t="s">
        <v>614</v>
      </c>
      <c r="C234" s="6" t="s">
        <v>589</v>
      </c>
      <c r="D234" s="6" t="s">
        <v>615</v>
      </c>
      <c r="E234" s="6" t="s">
        <v>591</v>
      </c>
      <c r="F234" s="6" t="s">
        <v>616</v>
      </c>
      <c r="G234" s="6"/>
    </row>
    <row r="235" spans="1:7" ht="14.25" customHeight="1" x14ac:dyDescent="0.3">
      <c r="A235" s="6">
        <v>242</v>
      </c>
      <c r="B235" s="6" t="s">
        <v>617</v>
      </c>
      <c r="C235" s="6" t="s">
        <v>589</v>
      </c>
      <c r="D235" s="6" t="s">
        <v>618</v>
      </c>
      <c r="E235" s="6" t="s">
        <v>591</v>
      </c>
      <c r="F235" s="6" t="s">
        <v>619</v>
      </c>
      <c r="G235" s="6"/>
    </row>
    <row r="236" spans="1:7" ht="14.25" customHeight="1" x14ac:dyDescent="0.3">
      <c r="A236" s="6">
        <v>243</v>
      </c>
      <c r="B236" s="6" t="s">
        <v>620</v>
      </c>
      <c r="C236" s="6" t="s">
        <v>589</v>
      </c>
      <c r="D236" s="6" t="s">
        <v>621</v>
      </c>
      <c r="E236" s="6" t="s">
        <v>591</v>
      </c>
      <c r="F236" s="6" t="s">
        <v>622</v>
      </c>
      <c r="G236" s="6"/>
    </row>
    <row r="237" spans="1:7" ht="14.25" customHeight="1" x14ac:dyDescent="0.3">
      <c r="A237" s="6">
        <v>244</v>
      </c>
      <c r="B237" s="6" t="s">
        <v>623</v>
      </c>
      <c r="C237" s="6" t="s">
        <v>589</v>
      </c>
      <c r="D237" s="6" t="s">
        <v>624</v>
      </c>
      <c r="E237" s="6" t="s">
        <v>591</v>
      </c>
      <c r="F237" s="6" t="s">
        <v>625</v>
      </c>
      <c r="G237" s="6"/>
    </row>
    <row r="238" spans="1:7" ht="14.25" customHeight="1" x14ac:dyDescent="0.3">
      <c r="A238" s="6">
        <v>245</v>
      </c>
      <c r="B238" s="6" t="s">
        <v>626</v>
      </c>
      <c r="C238" s="6" t="s">
        <v>589</v>
      </c>
      <c r="D238" s="6" t="s">
        <v>627</v>
      </c>
      <c r="E238" s="6" t="s">
        <v>591</v>
      </c>
      <c r="F238" s="6" t="s">
        <v>628</v>
      </c>
      <c r="G238" s="6"/>
    </row>
    <row r="239" spans="1:7" ht="14.25" customHeight="1" x14ac:dyDescent="0.3">
      <c r="A239" s="6">
        <v>246</v>
      </c>
      <c r="B239" s="6" t="s">
        <v>629</v>
      </c>
      <c r="C239" s="6" t="s">
        <v>589</v>
      </c>
      <c r="D239" s="6" t="s">
        <v>630</v>
      </c>
      <c r="E239" s="6" t="s">
        <v>591</v>
      </c>
      <c r="F239" s="6" t="s">
        <v>631</v>
      </c>
      <c r="G239" s="6"/>
    </row>
    <row r="240" spans="1:7" ht="14.25" customHeight="1" x14ac:dyDescent="0.3">
      <c r="A240" s="6">
        <v>247</v>
      </c>
      <c r="B240" s="6" t="s">
        <v>632</v>
      </c>
      <c r="C240" s="6" t="s">
        <v>589</v>
      </c>
      <c r="D240" s="6" t="s">
        <v>633</v>
      </c>
      <c r="E240" s="6" t="s">
        <v>591</v>
      </c>
      <c r="F240" s="6" t="s">
        <v>634</v>
      </c>
      <c r="G240" s="6"/>
    </row>
    <row r="241" spans="1:7" ht="14.25" customHeight="1" x14ac:dyDescent="0.3">
      <c r="A241" s="6">
        <v>248</v>
      </c>
      <c r="B241" s="6" t="s">
        <v>635</v>
      </c>
      <c r="C241" s="6" t="s">
        <v>589</v>
      </c>
      <c r="D241" s="6" t="s">
        <v>636</v>
      </c>
      <c r="E241" s="6" t="s">
        <v>591</v>
      </c>
      <c r="F241" s="6" t="s">
        <v>637</v>
      </c>
      <c r="G241" s="6"/>
    </row>
    <row r="242" spans="1:7" ht="14.25" customHeight="1" x14ac:dyDescent="0.3">
      <c r="A242" s="6">
        <v>249</v>
      </c>
      <c r="B242" s="6" t="s">
        <v>638</v>
      </c>
      <c r="C242" s="6" t="s">
        <v>639</v>
      </c>
      <c r="D242" s="6" t="s">
        <v>640</v>
      </c>
      <c r="E242" s="6" t="s">
        <v>10</v>
      </c>
      <c r="F242" s="6">
        <v>127</v>
      </c>
      <c r="G242" s="6"/>
    </row>
    <row r="243" spans="1:7" ht="14.25" customHeight="1" x14ac:dyDescent="0.3">
      <c r="A243" s="6">
        <v>250</v>
      </c>
      <c r="B243" s="6" t="s">
        <v>641</v>
      </c>
      <c r="C243" s="6" t="s">
        <v>639</v>
      </c>
      <c r="D243" s="6" t="s">
        <v>642</v>
      </c>
      <c r="E243" s="6" t="s">
        <v>10</v>
      </c>
      <c r="F243" s="6">
        <v>1944</v>
      </c>
      <c r="G243" s="6"/>
    </row>
    <row r="244" spans="1:7" ht="14.25" customHeight="1" x14ac:dyDescent="0.3">
      <c r="A244" s="6">
        <v>251</v>
      </c>
      <c r="B244" s="6" t="s">
        <v>643</v>
      </c>
      <c r="C244" s="6" t="s">
        <v>639</v>
      </c>
      <c r="D244" s="6" t="s">
        <v>644</v>
      </c>
      <c r="E244" s="6" t="s">
        <v>10</v>
      </c>
      <c r="F244" s="6">
        <v>121</v>
      </c>
      <c r="G244" s="6"/>
    </row>
    <row r="245" spans="1:7" ht="14.25" customHeight="1" x14ac:dyDescent="0.3">
      <c r="A245" s="6">
        <v>252</v>
      </c>
      <c r="B245" s="6" t="s">
        <v>645</v>
      </c>
      <c r="C245" s="6" t="s">
        <v>639</v>
      </c>
      <c r="D245" s="6">
        <v>4800</v>
      </c>
      <c r="E245" s="6" t="s">
        <v>10</v>
      </c>
      <c r="F245" s="6">
        <v>4800</v>
      </c>
      <c r="G245" s="6"/>
    </row>
    <row r="246" spans="1:7" ht="14.25" customHeight="1" x14ac:dyDescent="0.3">
      <c r="A246" s="6">
        <v>253</v>
      </c>
      <c r="B246" s="6" t="s">
        <v>646</v>
      </c>
      <c r="C246" s="6" t="s">
        <v>639</v>
      </c>
      <c r="D246" s="6" t="s">
        <v>647</v>
      </c>
      <c r="E246" s="6" t="s">
        <v>49</v>
      </c>
      <c r="F246" s="6" t="s">
        <v>1365</v>
      </c>
      <c r="G246" s="6"/>
    </row>
    <row r="247" spans="1:7" ht="14.25" customHeight="1" x14ac:dyDescent="0.3">
      <c r="A247" s="6">
        <v>254</v>
      </c>
      <c r="B247" s="6" t="s">
        <v>648</v>
      </c>
      <c r="C247" s="6" t="s">
        <v>639</v>
      </c>
      <c r="D247" s="6" t="s">
        <v>649</v>
      </c>
      <c r="E247" s="6" t="s">
        <v>63</v>
      </c>
      <c r="F247" s="6" t="s">
        <v>650</v>
      </c>
      <c r="G247" s="6"/>
    </row>
    <row r="248" spans="1:7" ht="14.25" customHeight="1" x14ac:dyDescent="0.3">
      <c r="A248" s="6">
        <v>255</v>
      </c>
      <c r="B248" s="6" t="s">
        <v>651</v>
      </c>
      <c r="C248" s="6" t="s">
        <v>639</v>
      </c>
      <c r="D248" s="6" t="s">
        <v>652</v>
      </c>
      <c r="E248" s="6" t="s">
        <v>63</v>
      </c>
      <c r="F248" s="6" t="s">
        <v>653</v>
      </c>
      <c r="G248" s="6" t="s">
        <v>156</v>
      </c>
    </row>
    <row r="249" spans="1:7" ht="14.25" customHeight="1" x14ac:dyDescent="0.3">
      <c r="A249" s="6">
        <v>256</v>
      </c>
      <c r="B249" s="6" t="s">
        <v>654</v>
      </c>
      <c r="C249" s="6" t="s">
        <v>639</v>
      </c>
      <c r="D249" s="6" t="s">
        <v>655</v>
      </c>
      <c r="E249" s="6" t="s">
        <v>10</v>
      </c>
      <c r="F249" s="6" t="s">
        <v>656</v>
      </c>
      <c r="G249" s="6"/>
    </row>
    <row r="250" spans="1:7" ht="14.25" customHeight="1" x14ac:dyDescent="0.3">
      <c r="A250" s="6">
        <v>257</v>
      </c>
      <c r="B250" s="6" t="s">
        <v>657</v>
      </c>
      <c r="C250" s="6" t="s">
        <v>639</v>
      </c>
      <c r="D250" s="6" t="s">
        <v>658</v>
      </c>
      <c r="E250" s="6" t="s">
        <v>10</v>
      </c>
      <c r="F250" s="6" t="s">
        <v>659</v>
      </c>
      <c r="G250" s="6"/>
    </row>
    <row r="251" spans="1:7" ht="14.25" customHeight="1" x14ac:dyDescent="0.3">
      <c r="A251" s="6">
        <v>258</v>
      </c>
      <c r="B251" s="6" t="s">
        <v>660</v>
      </c>
      <c r="C251" s="6" t="s">
        <v>639</v>
      </c>
      <c r="D251" s="6" t="s">
        <v>661</v>
      </c>
      <c r="E251" s="6" t="s">
        <v>63</v>
      </c>
      <c r="F251" s="6"/>
      <c r="G251" s="6" t="s">
        <v>156</v>
      </c>
    </row>
    <row r="252" spans="1:7" ht="14.25" customHeight="1" x14ac:dyDescent="0.3">
      <c r="A252" s="6">
        <v>259</v>
      </c>
      <c r="B252" s="6" t="s">
        <v>662</v>
      </c>
      <c r="C252" s="6" t="s">
        <v>639</v>
      </c>
      <c r="D252" s="6" t="s">
        <v>663</v>
      </c>
      <c r="E252" s="6" t="s">
        <v>10</v>
      </c>
      <c r="F252" s="6" t="s">
        <v>664</v>
      </c>
      <c r="G252" s="6" t="s">
        <v>156</v>
      </c>
    </row>
    <row r="253" spans="1:7" ht="14.25" customHeight="1" x14ac:dyDescent="0.3">
      <c r="A253" s="6">
        <v>260</v>
      </c>
      <c r="B253" s="6" t="s">
        <v>665</v>
      </c>
      <c r="C253" s="6" t="s">
        <v>639</v>
      </c>
      <c r="D253" s="6" t="s">
        <v>666</v>
      </c>
      <c r="E253" s="6" t="s">
        <v>10</v>
      </c>
      <c r="F253" s="6" t="s">
        <v>667</v>
      </c>
      <c r="G253" s="6" t="s">
        <v>156</v>
      </c>
    </row>
    <row r="254" spans="1:7" ht="14.25" customHeight="1" x14ac:dyDescent="0.3">
      <c r="A254" s="6">
        <v>261</v>
      </c>
      <c r="B254" s="6" t="s">
        <v>668</v>
      </c>
      <c r="C254" s="6" t="s">
        <v>639</v>
      </c>
      <c r="D254" s="6" t="s">
        <v>669</v>
      </c>
      <c r="E254" s="6" t="s">
        <v>10</v>
      </c>
      <c r="F254" s="6" t="s">
        <v>670</v>
      </c>
      <c r="G254" s="6" t="s">
        <v>156</v>
      </c>
    </row>
    <row r="255" spans="1:7" ht="14.25" customHeight="1" x14ac:dyDescent="0.3">
      <c r="A255" s="6">
        <v>262</v>
      </c>
      <c r="B255" s="6" t="s">
        <v>671</v>
      </c>
      <c r="C255" s="6" t="s">
        <v>639</v>
      </c>
      <c r="D255" s="6">
        <v>2021</v>
      </c>
      <c r="E255" s="6" t="s">
        <v>10</v>
      </c>
      <c r="F255" s="6">
        <v>2021</v>
      </c>
      <c r="G255" s="6"/>
    </row>
    <row r="256" spans="1:7" ht="14.25" customHeight="1" x14ac:dyDescent="0.3">
      <c r="A256" s="6">
        <v>263</v>
      </c>
      <c r="B256" s="6" t="s">
        <v>672</v>
      </c>
      <c r="C256" s="6" t="s">
        <v>639</v>
      </c>
      <c r="D256" s="6" t="s">
        <v>673</v>
      </c>
      <c r="E256" s="6" t="s">
        <v>10</v>
      </c>
      <c r="F256" s="6" t="s">
        <v>674</v>
      </c>
      <c r="G256" s="6" t="s">
        <v>156</v>
      </c>
    </row>
    <row r="257" spans="1:7" ht="14.25" customHeight="1" x14ac:dyDescent="0.3">
      <c r="A257" s="6">
        <v>264</v>
      </c>
      <c r="B257" s="6" t="s">
        <v>675</v>
      </c>
      <c r="C257" s="6" t="s">
        <v>639</v>
      </c>
      <c r="D257" s="6" t="s">
        <v>676</v>
      </c>
      <c r="E257" s="6" t="s">
        <v>10</v>
      </c>
      <c r="F257" s="6" t="s">
        <v>677</v>
      </c>
      <c r="G257" s="6"/>
    </row>
    <row r="258" spans="1:7" ht="14.25" customHeight="1" x14ac:dyDescent="0.3">
      <c r="A258" s="6">
        <v>265</v>
      </c>
      <c r="B258" s="6" t="s">
        <v>678</v>
      </c>
      <c r="C258" s="6" t="s">
        <v>639</v>
      </c>
      <c r="D258" s="6" t="s">
        <v>679</v>
      </c>
      <c r="E258" s="6" t="s">
        <v>10</v>
      </c>
      <c r="F258" s="6">
        <v>9</v>
      </c>
      <c r="G258" s="6"/>
    </row>
    <row r="259" spans="1:7" ht="14.25" customHeight="1" x14ac:dyDescent="0.3">
      <c r="A259" s="6">
        <v>266</v>
      </c>
      <c r="B259" s="6" t="s">
        <v>680</v>
      </c>
      <c r="C259" s="6" t="s">
        <v>639</v>
      </c>
      <c r="D259" s="6" t="s">
        <v>681</v>
      </c>
      <c r="E259" s="6" t="s">
        <v>10</v>
      </c>
      <c r="F259" s="6" t="s">
        <v>682</v>
      </c>
      <c r="G259" s="6" t="s">
        <v>156</v>
      </c>
    </row>
    <row r="260" spans="1:7" ht="14.25" customHeight="1" x14ac:dyDescent="0.3">
      <c r="A260" s="6">
        <v>267</v>
      </c>
      <c r="B260" s="6" t="s">
        <v>683</v>
      </c>
      <c r="C260" s="6" t="s">
        <v>639</v>
      </c>
      <c r="D260" s="6" t="s">
        <v>684</v>
      </c>
      <c r="E260" s="6" t="s">
        <v>10</v>
      </c>
      <c r="F260" s="6" t="s">
        <v>1373</v>
      </c>
      <c r="G260" s="6"/>
    </row>
    <row r="261" spans="1:7" ht="14.25" customHeight="1" x14ac:dyDescent="0.3">
      <c r="A261" s="6">
        <v>268</v>
      </c>
      <c r="B261" s="6" t="s">
        <v>685</v>
      </c>
      <c r="C261" s="6" t="s">
        <v>639</v>
      </c>
      <c r="D261" s="6" t="s">
        <v>686</v>
      </c>
      <c r="E261" s="6" t="s">
        <v>10</v>
      </c>
      <c r="F261" s="6" t="s">
        <v>687</v>
      </c>
      <c r="G261" s="6"/>
    </row>
    <row r="262" spans="1:7" ht="14.25" customHeight="1" x14ac:dyDescent="0.3">
      <c r="A262" s="6">
        <v>269</v>
      </c>
      <c r="B262" s="7" t="s">
        <v>688</v>
      </c>
      <c r="C262" s="6" t="s">
        <v>639</v>
      </c>
      <c r="D262" s="6" t="s">
        <v>689</v>
      </c>
      <c r="E262" s="6" t="s">
        <v>10</v>
      </c>
      <c r="F262" s="6" t="s">
        <v>690</v>
      </c>
      <c r="G262" s="6"/>
    </row>
    <row r="263" spans="1:7" ht="14.25" customHeight="1" x14ac:dyDescent="0.3">
      <c r="A263" s="6">
        <v>270</v>
      </c>
      <c r="B263" s="6" t="s">
        <v>691</v>
      </c>
      <c r="C263" s="6" t="s">
        <v>639</v>
      </c>
      <c r="D263" s="6" t="s">
        <v>692</v>
      </c>
      <c r="E263" s="6" t="s">
        <v>10</v>
      </c>
      <c r="F263" s="6" t="s">
        <v>693</v>
      </c>
      <c r="G263" s="6"/>
    </row>
    <row r="264" spans="1:7" ht="14.25" customHeight="1" x14ac:dyDescent="0.3">
      <c r="A264" s="6">
        <v>271</v>
      </c>
      <c r="B264" s="6" t="s">
        <v>694</v>
      </c>
      <c r="C264" s="6" t="s">
        <v>639</v>
      </c>
      <c r="D264" s="6" t="s">
        <v>695</v>
      </c>
      <c r="E264" s="6" t="s">
        <v>63</v>
      </c>
      <c r="F264" s="6" t="s">
        <v>696</v>
      </c>
      <c r="G264" s="6" t="s">
        <v>156</v>
      </c>
    </row>
    <row r="265" spans="1:7" ht="14.25" customHeight="1" x14ac:dyDescent="0.3">
      <c r="A265" s="6">
        <v>272</v>
      </c>
      <c r="B265" s="6" t="s">
        <v>697</v>
      </c>
      <c r="C265" s="6" t="s">
        <v>639</v>
      </c>
      <c r="D265" s="6" t="s">
        <v>698</v>
      </c>
      <c r="E265" s="6" t="s">
        <v>10</v>
      </c>
      <c r="F265" s="6" t="s">
        <v>699</v>
      </c>
      <c r="G265" s="6"/>
    </row>
    <row r="266" spans="1:7" ht="14.25" customHeight="1" x14ac:dyDescent="0.3">
      <c r="A266" s="6">
        <v>273</v>
      </c>
      <c r="B266" s="6" t="s">
        <v>700</v>
      </c>
      <c r="C266" s="6" t="s">
        <v>639</v>
      </c>
      <c r="D266" s="6" t="s">
        <v>701</v>
      </c>
      <c r="E266" s="6" t="s">
        <v>63</v>
      </c>
      <c r="F266" s="6" t="s">
        <v>702</v>
      </c>
      <c r="G266" s="6"/>
    </row>
    <row r="267" spans="1:7" ht="14.25" customHeight="1" x14ac:dyDescent="0.3">
      <c r="A267" s="6">
        <v>274</v>
      </c>
      <c r="B267" s="6" t="s">
        <v>703</v>
      </c>
      <c r="C267" s="6" t="s">
        <v>639</v>
      </c>
      <c r="D267" s="6" t="s">
        <v>704</v>
      </c>
      <c r="E267" s="6" t="s">
        <v>63</v>
      </c>
      <c r="F267" s="6" t="s">
        <v>705</v>
      </c>
      <c r="G267" s="6"/>
    </row>
    <row r="268" spans="1:7" ht="14.25" customHeight="1" x14ac:dyDescent="0.3">
      <c r="A268" s="6">
        <v>275</v>
      </c>
      <c r="B268" s="6" t="s">
        <v>706</v>
      </c>
      <c r="C268" s="6" t="s">
        <v>639</v>
      </c>
      <c r="D268" s="6" t="s">
        <v>707</v>
      </c>
      <c r="E268" s="6" t="s">
        <v>10</v>
      </c>
      <c r="F268" s="6" t="s">
        <v>708</v>
      </c>
      <c r="G268" s="6" t="s">
        <v>156</v>
      </c>
    </row>
    <row r="269" spans="1:7" ht="14.25" customHeight="1" x14ac:dyDescent="0.3">
      <c r="A269" s="6">
        <v>276</v>
      </c>
      <c r="B269" s="6" t="s">
        <v>709</v>
      </c>
      <c r="C269" s="6" t="s">
        <v>639</v>
      </c>
      <c r="D269" s="6" t="s">
        <v>710</v>
      </c>
      <c r="E269" s="6" t="s">
        <v>10</v>
      </c>
      <c r="F269" s="6" t="s">
        <v>711</v>
      </c>
      <c r="G269" s="6"/>
    </row>
    <row r="270" spans="1:7" ht="14.25" customHeight="1" x14ac:dyDescent="0.3">
      <c r="A270" s="6">
        <v>277</v>
      </c>
      <c r="B270" s="6" t="s">
        <v>712</v>
      </c>
      <c r="C270" s="6" t="s">
        <v>639</v>
      </c>
      <c r="D270" s="6" t="s">
        <v>713</v>
      </c>
      <c r="E270" s="6" t="s">
        <v>10</v>
      </c>
      <c r="F270" s="6" t="s">
        <v>714</v>
      </c>
      <c r="G270" s="6" t="s">
        <v>156</v>
      </c>
    </row>
    <row r="271" spans="1:7" ht="14.25" customHeight="1" x14ac:dyDescent="0.3">
      <c r="A271" s="6">
        <v>278</v>
      </c>
      <c r="B271" s="6" t="s">
        <v>715</v>
      </c>
      <c r="C271" s="6" t="s">
        <v>639</v>
      </c>
      <c r="D271" s="6">
        <v>9013</v>
      </c>
      <c r="E271" s="6" t="s">
        <v>10</v>
      </c>
      <c r="F271" s="6">
        <v>9013</v>
      </c>
      <c r="G271" s="6"/>
    </row>
    <row r="272" spans="1:7" ht="14.25" customHeight="1" x14ac:dyDescent="0.3">
      <c r="A272" s="6">
        <v>279</v>
      </c>
      <c r="B272" s="6" t="s">
        <v>716</v>
      </c>
      <c r="C272" s="6" t="s">
        <v>639</v>
      </c>
      <c r="D272" s="6" t="s">
        <v>1372</v>
      </c>
      <c r="E272" s="6" t="s">
        <v>10</v>
      </c>
      <c r="F272" s="6" t="s">
        <v>1372</v>
      </c>
      <c r="G272" s="6"/>
    </row>
    <row r="273" spans="1:7" ht="14.25" customHeight="1" x14ac:dyDescent="0.3">
      <c r="A273" s="6">
        <v>280</v>
      </c>
      <c r="B273" s="6" t="s">
        <v>717</v>
      </c>
      <c r="C273" s="6" t="s">
        <v>639</v>
      </c>
      <c r="D273" s="6">
        <v>0.32</v>
      </c>
      <c r="E273" s="6" t="s">
        <v>10</v>
      </c>
      <c r="F273" s="6" t="s">
        <v>718</v>
      </c>
      <c r="G273" s="6" t="s">
        <v>156</v>
      </c>
    </row>
    <row r="274" spans="1:7" ht="14.25" customHeight="1" x14ac:dyDescent="0.3">
      <c r="A274" s="6">
        <v>281</v>
      </c>
      <c r="B274" s="6" t="s">
        <v>719</v>
      </c>
      <c r="C274" s="6" t="s">
        <v>720</v>
      </c>
      <c r="D274" s="6">
        <v>41</v>
      </c>
      <c r="E274" s="6" t="s">
        <v>10</v>
      </c>
      <c r="F274" s="6">
        <v>41</v>
      </c>
      <c r="G274" s="6" t="s">
        <v>156</v>
      </c>
    </row>
    <row r="275" spans="1:7" ht="14.25" customHeight="1" x14ac:dyDescent="0.3">
      <c r="A275" s="6">
        <v>282</v>
      </c>
      <c r="B275" s="6" t="s">
        <v>721</v>
      </c>
      <c r="C275" s="6" t="s">
        <v>720</v>
      </c>
      <c r="D275" s="6" t="s">
        <v>722</v>
      </c>
      <c r="E275" s="6" t="s">
        <v>10</v>
      </c>
      <c r="F275" s="6" t="s">
        <v>723</v>
      </c>
      <c r="G275" s="6"/>
    </row>
    <row r="276" spans="1:7" ht="14.25" customHeight="1" x14ac:dyDescent="0.3">
      <c r="A276" s="6">
        <v>283</v>
      </c>
      <c r="B276" s="6" t="s">
        <v>724</v>
      </c>
      <c r="C276" s="6" t="s">
        <v>720</v>
      </c>
      <c r="D276" s="6">
        <v>210.102</v>
      </c>
      <c r="E276" s="6" t="s">
        <v>10</v>
      </c>
      <c r="F276" s="6">
        <v>210.102</v>
      </c>
      <c r="G276" s="6"/>
    </row>
    <row r="277" spans="1:7" ht="14.25" customHeight="1" x14ac:dyDescent="0.3">
      <c r="A277" s="6">
        <v>284</v>
      </c>
      <c r="B277" s="6" t="s">
        <v>725</v>
      </c>
      <c r="C277" s="6" t="s">
        <v>720</v>
      </c>
      <c r="D277" s="6">
        <v>0</v>
      </c>
      <c r="E277" s="6" t="s">
        <v>10</v>
      </c>
      <c r="F277" s="6">
        <v>0</v>
      </c>
      <c r="G277" s="6"/>
    </row>
    <row r="278" spans="1:7" ht="14.25" customHeight="1" x14ac:dyDescent="0.3">
      <c r="A278" s="6">
        <v>285</v>
      </c>
      <c r="B278" s="6" t="s">
        <v>726</v>
      </c>
      <c r="C278" s="6" t="s">
        <v>720</v>
      </c>
      <c r="D278" s="6" t="s">
        <v>727</v>
      </c>
      <c r="E278" s="6" t="s">
        <v>10</v>
      </c>
      <c r="F278" s="6">
        <v>22</v>
      </c>
      <c r="G278" s="6"/>
    </row>
    <row r="279" spans="1:7" ht="14.25" customHeight="1" x14ac:dyDescent="0.3">
      <c r="A279" s="6">
        <v>286</v>
      </c>
      <c r="B279" s="11" t="s">
        <v>728</v>
      </c>
      <c r="C279" s="6" t="s">
        <v>720</v>
      </c>
      <c r="D279" s="6" t="s">
        <v>729</v>
      </c>
      <c r="E279" s="6" t="s">
        <v>10</v>
      </c>
      <c r="F279" s="6">
        <v>8</v>
      </c>
      <c r="G279" s="6"/>
    </row>
    <row r="280" spans="1:7" ht="14.25" customHeight="1" x14ac:dyDescent="0.3">
      <c r="A280" s="6">
        <v>287</v>
      </c>
      <c r="B280" s="6" t="s">
        <v>730</v>
      </c>
      <c r="C280" s="6" t="s">
        <v>720</v>
      </c>
      <c r="D280" s="6">
        <v>0</v>
      </c>
      <c r="E280" s="6" t="s">
        <v>10</v>
      </c>
      <c r="F280" s="6">
        <v>0</v>
      </c>
      <c r="G280" s="6"/>
    </row>
    <row r="281" spans="1:7" ht="14.25" customHeight="1" x14ac:dyDescent="0.3">
      <c r="A281" s="6">
        <v>288</v>
      </c>
      <c r="B281" s="6" t="s">
        <v>731</v>
      </c>
      <c r="C281" s="6" t="s">
        <v>720</v>
      </c>
      <c r="D281" s="6" t="s">
        <v>732</v>
      </c>
      <c r="E281" s="6" t="s">
        <v>10</v>
      </c>
      <c r="F281" s="6">
        <v>1</v>
      </c>
      <c r="G281" s="6"/>
    </row>
    <row r="282" spans="1:7" ht="14.25" customHeight="1" x14ac:dyDescent="0.3">
      <c r="A282" s="6">
        <v>289</v>
      </c>
      <c r="B282" s="6" t="s">
        <v>733</v>
      </c>
      <c r="C282" s="6" t="s">
        <v>734</v>
      </c>
      <c r="D282" s="6" t="s">
        <v>735</v>
      </c>
      <c r="E282" s="6" t="s">
        <v>63</v>
      </c>
      <c r="F282" s="6" t="s">
        <v>736</v>
      </c>
      <c r="G282" s="6"/>
    </row>
    <row r="283" spans="1:7" ht="14.25" customHeight="1" x14ac:dyDescent="0.3">
      <c r="A283" s="6">
        <v>290</v>
      </c>
      <c r="B283" s="6" t="s">
        <v>737</v>
      </c>
      <c r="C283" s="6" t="s">
        <v>734</v>
      </c>
      <c r="D283" s="6" t="s">
        <v>738</v>
      </c>
      <c r="E283" s="6" t="s">
        <v>63</v>
      </c>
      <c r="F283" s="6" t="s">
        <v>739</v>
      </c>
      <c r="G283" s="6"/>
    </row>
    <row r="284" spans="1:7" ht="14.25" customHeight="1" x14ac:dyDescent="0.3">
      <c r="A284" s="6">
        <v>291</v>
      </c>
      <c r="B284" s="6" t="s">
        <v>740</v>
      </c>
      <c r="C284" s="6" t="s">
        <v>734</v>
      </c>
      <c r="D284" s="6" t="s">
        <v>741</v>
      </c>
      <c r="E284" s="6" t="s">
        <v>63</v>
      </c>
      <c r="F284" s="6" t="s">
        <v>742</v>
      </c>
      <c r="G284" s="6"/>
    </row>
    <row r="285" spans="1:7" ht="14.25" customHeight="1" x14ac:dyDescent="0.3">
      <c r="A285" s="6">
        <v>292</v>
      </c>
      <c r="B285" s="6" t="s">
        <v>743</v>
      </c>
      <c r="C285" s="6" t="s">
        <v>734</v>
      </c>
      <c r="D285" s="6" t="s">
        <v>744</v>
      </c>
      <c r="E285" s="6" t="s">
        <v>10</v>
      </c>
      <c r="F285" s="6" t="s">
        <v>745</v>
      </c>
      <c r="G285" s="6"/>
    </row>
    <row r="286" spans="1:7" ht="14.25" customHeight="1" x14ac:dyDescent="0.3">
      <c r="A286" s="6">
        <v>293</v>
      </c>
      <c r="B286" s="6" t="s">
        <v>746</v>
      </c>
      <c r="C286" s="6" t="s">
        <v>734</v>
      </c>
      <c r="D286" s="6" t="s">
        <v>747</v>
      </c>
      <c r="E286" s="6" t="s">
        <v>63</v>
      </c>
      <c r="F286" s="6" t="s">
        <v>748</v>
      </c>
      <c r="G286" s="6"/>
    </row>
    <row r="287" spans="1:7" ht="14.25" customHeight="1" x14ac:dyDescent="0.3">
      <c r="A287" s="6">
        <v>294</v>
      </c>
      <c r="B287" s="6" t="s">
        <v>749</v>
      </c>
      <c r="C287" s="6" t="s">
        <v>734</v>
      </c>
      <c r="D287" s="6" t="s">
        <v>750</v>
      </c>
      <c r="E287" s="6" t="s">
        <v>10</v>
      </c>
      <c r="F287" s="6" t="s">
        <v>751</v>
      </c>
      <c r="G287" s="6"/>
    </row>
    <row r="288" spans="1:7" ht="14.25" customHeight="1" x14ac:dyDescent="0.3">
      <c r="A288" s="6">
        <v>295</v>
      </c>
      <c r="B288" s="6" t="s">
        <v>752</v>
      </c>
      <c r="C288" s="6" t="s">
        <v>734</v>
      </c>
      <c r="D288" s="6" t="s">
        <v>753</v>
      </c>
      <c r="E288" s="6" t="s">
        <v>10</v>
      </c>
      <c r="F288" s="6" t="s">
        <v>754</v>
      </c>
      <c r="G288" s="6" t="s">
        <v>156</v>
      </c>
    </row>
    <row r="289" spans="1:7" ht="14.25" customHeight="1" x14ac:dyDescent="0.3">
      <c r="A289" s="6">
        <v>296</v>
      </c>
      <c r="B289" s="6" t="s">
        <v>755</v>
      </c>
      <c r="C289" s="6" t="s">
        <v>734</v>
      </c>
      <c r="D289" s="6" t="s">
        <v>756</v>
      </c>
      <c r="E289" s="6" t="s">
        <v>10</v>
      </c>
      <c r="F289" s="6" t="s">
        <v>757</v>
      </c>
      <c r="G289" s="6" t="s">
        <v>156</v>
      </c>
    </row>
    <row r="290" spans="1:7" ht="14.25" customHeight="1" x14ac:dyDescent="0.3">
      <c r="A290" s="6">
        <v>297</v>
      </c>
      <c r="B290" s="6" t="s">
        <v>758</v>
      </c>
      <c r="C290" s="6" t="s">
        <v>734</v>
      </c>
      <c r="D290" s="6" t="s">
        <v>759</v>
      </c>
      <c r="E290" s="6" t="s">
        <v>63</v>
      </c>
      <c r="F290" s="6" t="s">
        <v>760</v>
      </c>
      <c r="G290" s="6"/>
    </row>
    <row r="291" spans="1:7" ht="14.25" customHeight="1" x14ac:dyDescent="0.3">
      <c r="A291" s="6">
        <v>298</v>
      </c>
      <c r="B291" s="6" t="s">
        <v>761</v>
      </c>
      <c r="C291" s="6" t="s">
        <v>734</v>
      </c>
      <c r="D291" s="6" t="s">
        <v>762</v>
      </c>
      <c r="E291" s="6" t="s">
        <v>10</v>
      </c>
      <c r="F291" s="6" t="s">
        <v>763</v>
      </c>
      <c r="G291" s="6"/>
    </row>
    <row r="292" spans="1:7" ht="14.25" customHeight="1" x14ac:dyDescent="0.3">
      <c r="A292" s="6">
        <v>299</v>
      </c>
      <c r="B292" s="6" t="s">
        <v>764</v>
      </c>
      <c r="C292" s="6" t="s">
        <v>734</v>
      </c>
      <c r="D292" s="6" t="s">
        <v>765</v>
      </c>
      <c r="E292" s="6" t="s">
        <v>10</v>
      </c>
      <c r="F292" s="6" t="s">
        <v>766</v>
      </c>
      <c r="G292" s="6"/>
    </row>
    <row r="293" spans="1:7" ht="14.25" customHeight="1" x14ac:dyDescent="0.3">
      <c r="A293" s="6">
        <v>300</v>
      </c>
      <c r="B293" s="6" t="s">
        <v>767</v>
      </c>
      <c r="C293" s="6" t="s">
        <v>734</v>
      </c>
      <c r="D293" s="6" t="s">
        <v>768</v>
      </c>
      <c r="E293" s="6" t="s">
        <v>10</v>
      </c>
      <c r="F293" s="6" t="s">
        <v>769</v>
      </c>
      <c r="G293" s="6"/>
    </row>
    <row r="294" spans="1:7" ht="14.25" customHeight="1" x14ac:dyDescent="0.3">
      <c r="A294" s="6">
        <v>301</v>
      </c>
      <c r="B294" s="6" t="s">
        <v>770</v>
      </c>
      <c r="C294" s="6" t="s">
        <v>734</v>
      </c>
      <c r="D294" s="6" t="s">
        <v>771</v>
      </c>
      <c r="E294" s="6" t="s">
        <v>63</v>
      </c>
      <c r="F294" s="6" t="s">
        <v>772</v>
      </c>
      <c r="G294" s="6"/>
    </row>
    <row r="295" spans="1:7" ht="14.25" customHeight="1" x14ac:dyDescent="0.3">
      <c r="A295" s="6">
        <v>302</v>
      </c>
      <c r="B295" s="6" t="s">
        <v>773</v>
      </c>
      <c r="C295" s="6" t="s">
        <v>734</v>
      </c>
      <c r="D295" s="6" t="s">
        <v>774</v>
      </c>
      <c r="E295" s="6" t="s">
        <v>109</v>
      </c>
      <c r="F295" s="6" t="s">
        <v>110</v>
      </c>
      <c r="G295" s="6"/>
    </row>
    <row r="296" spans="1:7" ht="14.25" customHeight="1" x14ac:dyDescent="0.3">
      <c r="A296" s="6">
        <v>303</v>
      </c>
      <c r="B296" s="6" t="s">
        <v>775</v>
      </c>
      <c r="C296" s="6" t="s">
        <v>734</v>
      </c>
      <c r="D296" s="6" t="b">
        <v>1</v>
      </c>
      <c r="E296" s="6" t="s">
        <v>109</v>
      </c>
      <c r="F296" s="6" t="s">
        <v>163</v>
      </c>
      <c r="G296" s="6"/>
    </row>
    <row r="297" spans="1:7" ht="14.25" customHeight="1" x14ac:dyDescent="0.3">
      <c r="A297" s="6">
        <v>304</v>
      </c>
      <c r="B297" s="6" t="s">
        <v>776</v>
      </c>
      <c r="C297" s="6" t="s">
        <v>734</v>
      </c>
      <c r="D297" s="6" t="b">
        <v>1</v>
      </c>
      <c r="E297" s="6" t="s">
        <v>109</v>
      </c>
      <c r="F297" s="6" t="s">
        <v>163</v>
      </c>
      <c r="G297" s="6"/>
    </row>
    <row r="298" spans="1:7" ht="14.25" customHeight="1" x14ac:dyDescent="0.3">
      <c r="A298" s="6">
        <v>305</v>
      </c>
      <c r="B298" s="6" t="s">
        <v>777</v>
      </c>
      <c r="C298" s="6" t="s">
        <v>734</v>
      </c>
      <c r="D298" s="6" t="s">
        <v>778</v>
      </c>
      <c r="E298" s="6" t="s">
        <v>10</v>
      </c>
      <c r="F298" s="6" t="s">
        <v>779</v>
      </c>
      <c r="G298" s="6"/>
    </row>
    <row r="299" spans="1:7" ht="14.25" customHeight="1" x14ac:dyDescent="0.3">
      <c r="A299" s="6">
        <v>306</v>
      </c>
      <c r="B299" s="6" t="s">
        <v>780</v>
      </c>
      <c r="C299" s="6" t="s">
        <v>734</v>
      </c>
      <c r="D299" s="6" t="s">
        <v>781</v>
      </c>
      <c r="E299" s="6" t="s">
        <v>10</v>
      </c>
      <c r="F299" s="6">
        <v>9</v>
      </c>
      <c r="G299" s="6"/>
    </row>
    <row r="300" spans="1:7" ht="14.25" customHeight="1" x14ac:dyDescent="0.3">
      <c r="A300" s="6">
        <v>307</v>
      </c>
      <c r="B300" s="6" t="s">
        <v>782</v>
      </c>
      <c r="C300" s="6" t="s">
        <v>734</v>
      </c>
      <c r="D300" s="6" t="s">
        <v>783</v>
      </c>
      <c r="E300" s="6" t="s">
        <v>10</v>
      </c>
      <c r="F300" s="6" t="s">
        <v>784</v>
      </c>
      <c r="G300" s="6" t="s">
        <v>156</v>
      </c>
    </row>
    <row r="301" spans="1:7" ht="14.25" customHeight="1" x14ac:dyDescent="0.3">
      <c r="A301" s="6">
        <v>308</v>
      </c>
      <c r="B301" s="6" t="s">
        <v>785</v>
      </c>
      <c r="C301" s="6" t="s">
        <v>734</v>
      </c>
      <c r="D301" s="6" t="s">
        <v>786</v>
      </c>
      <c r="E301" s="6" t="s">
        <v>10</v>
      </c>
      <c r="F301" s="6" t="s">
        <v>787</v>
      </c>
      <c r="G301" s="6" t="s">
        <v>156</v>
      </c>
    </row>
    <row r="302" spans="1:7" ht="14.25" customHeight="1" x14ac:dyDescent="0.3">
      <c r="A302" s="6">
        <v>309</v>
      </c>
      <c r="B302" s="6" t="s">
        <v>788</v>
      </c>
      <c r="C302" s="6" t="s">
        <v>734</v>
      </c>
      <c r="D302" s="6" t="s">
        <v>789</v>
      </c>
      <c r="E302" s="6" t="s">
        <v>10</v>
      </c>
      <c r="F302" s="6" t="s">
        <v>790</v>
      </c>
      <c r="G302" s="6" t="s">
        <v>156</v>
      </c>
    </row>
    <row r="303" spans="1:7" ht="14.25" customHeight="1" x14ac:dyDescent="0.3">
      <c r="A303" s="6">
        <v>310</v>
      </c>
      <c r="B303" s="6" t="s">
        <v>791</v>
      </c>
      <c r="C303" s="6" t="s">
        <v>734</v>
      </c>
      <c r="D303" s="6" t="s">
        <v>792</v>
      </c>
      <c r="E303" s="6" t="s">
        <v>63</v>
      </c>
      <c r="F303" s="6" t="s">
        <v>793</v>
      </c>
      <c r="G303" s="6" t="s">
        <v>156</v>
      </c>
    </row>
    <row r="304" spans="1:7" ht="14.25" customHeight="1" x14ac:dyDescent="0.3">
      <c r="A304" s="6">
        <v>311</v>
      </c>
      <c r="B304" s="6" t="s">
        <v>794</v>
      </c>
      <c r="C304" s="6" t="s">
        <v>734</v>
      </c>
      <c r="D304" s="6" t="s">
        <v>795</v>
      </c>
      <c r="E304" s="6" t="s">
        <v>10</v>
      </c>
      <c r="F304" s="6">
        <v>16</v>
      </c>
      <c r="G304" s="6"/>
    </row>
    <row r="305" spans="1:7" ht="14.25" customHeight="1" x14ac:dyDescent="0.3">
      <c r="A305" s="6">
        <v>312</v>
      </c>
      <c r="B305" s="6" t="s">
        <v>796</v>
      </c>
      <c r="C305" s="6" t="s">
        <v>734</v>
      </c>
      <c r="D305" s="6" t="s">
        <v>797</v>
      </c>
      <c r="E305" s="6" t="s">
        <v>10</v>
      </c>
      <c r="F305" s="6">
        <v>18</v>
      </c>
      <c r="G305" s="6"/>
    </row>
    <row r="306" spans="1:7" ht="14.25" customHeight="1" x14ac:dyDescent="0.3">
      <c r="A306" s="6">
        <v>313</v>
      </c>
      <c r="B306" s="6" t="s">
        <v>798</v>
      </c>
      <c r="C306" s="6" t="s">
        <v>8</v>
      </c>
      <c r="D306" s="6" t="s">
        <v>799</v>
      </c>
      <c r="E306" s="6" t="s">
        <v>800</v>
      </c>
      <c r="F306" s="6" t="s">
        <v>801</v>
      </c>
      <c r="G306" s="6"/>
    </row>
    <row r="307" spans="1:7" ht="14.25" customHeight="1" x14ac:dyDescent="0.3">
      <c r="A307" s="6">
        <v>314</v>
      </c>
      <c r="B307" s="6" t="s">
        <v>802</v>
      </c>
      <c r="C307" s="6" t="s">
        <v>8</v>
      </c>
      <c r="D307" s="6" t="s">
        <v>803</v>
      </c>
      <c r="E307" s="6" t="s">
        <v>800</v>
      </c>
      <c r="F307" s="6" t="s">
        <v>804</v>
      </c>
      <c r="G307" s="6"/>
    </row>
    <row r="308" spans="1:7" ht="14.25" customHeight="1" x14ac:dyDescent="0.3">
      <c r="A308" s="6">
        <v>315</v>
      </c>
      <c r="B308" s="6" t="s">
        <v>805</v>
      </c>
      <c r="C308" s="6" t="s">
        <v>8</v>
      </c>
      <c r="D308" s="6" t="s">
        <v>806</v>
      </c>
      <c r="E308" s="6" t="s">
        <v>800</v>
      </c>
      <c r="F308" s="6" t="s">
        <v>110</v>
      </c>
      <c r="G308" s="6"/>
    </row>
    <row r="309" spans="1:7" ht="14.25" customHeight="1" x14ac:dyDescent="0.3">
      <c r="A309" s="6">
        <v>316</v>
      </c>
      <c r="B309" s="6" t="s">
        <v>807</v>
      </c>
      <c r="C309" s="6" t="s">
        <v>8</v>
      </c>
      <c r="D309" s="6" t="s">
        <v>808</v>
      </c>
      <c r="E309" s="6" t="s">
        <v>800</v>
      </c>
      <c r="F309" s="6" t="s">
        <v>110</v>
      </c>
      <c r="G309" s="6"/>
    </row>
    <row r="310" spans="1:7" ht="14.25" customHeight="1" x14ac:dyDescent="0.3">
      <c r="A310" s="6">
        <v>317</v>
      </c>
      <c r="B310" s="6" t="s">
        <v>809</v>
      </c>
      <c r="C310" s="6" t="s">
        <v>8</v>
      </c>
      <c r="D310" s="6" t="s">
        <v>810</v>
      </c>
      <c r="E310" s="6" t="s">
        <v>800</v>
      </c>
      <c r="F310" s="6" t="s">
        <v>110</v>
      </c>
      <c r="G310" s="6"/>
    </row>
    <row r="311" spans="1:7" ht="14.25" customHeight="1" x14ac:dyDescent="0.3">
      <c r="A311" s="6">
        <v>318</v>
      </c>
      <c r="B311" s="6" t="s">
        <v>811</v>
      </c>
      <c r="C311" s="6" t="s">
        <v>8</v>
      </c>
      <c r="D311" s="6" t="s">
        <v>812</v>
      </c>
      <c r="E311" s="6" t="s">
        <v>800</v>
      </c>
      <c r="F311" s="6" t="s">
        <v>110</v>
      </c>
      <c r="G311" s="6"/>
    </row>
    <row r="312" spans="1:7" ht="14.25" customHeight="1" x14ac:dyDescent="0.3">
      <c r="A312" s="6">
        <v>319</v>
      </c>
      <c r="B312" s="6" t="s">
        <v>813</v>
      </c>
      <c r="C312" s="6" t="s">
        <v>8</v>
      </c>
      <c r="D312" s="6" t="s">
        <v>814</v>
      </c>
      <c r="E312" s="6" t="s">
        <v>800</v>
      </c>
      <c r="F312" s="6" t="s">
        <v>815</v>
      </c>
      <c r="G312" s="6"/>
    </row>
    <row r="313" spans="1:7" ht="14.25" customHeight="1" x14ac:dyDescent="0.3">
      <c r="A313" s="6">
        <v>320</v>
      </c>
      <c r="B313" s="6" t="s">
        <v>816</v>
      </c>
      <c r="C313" s="6" t="s">
        <v>8</v>
      </c>
      <c r="D313" s="6" t="s">
        <v>817</v>
      </c>
      <c r="E313" s="6" t="s">
        <v>800</v>
      </c>
      <c r="F313" s="6" t="s">
        <v>818</v>
      </c>
      <c r="G313" s="6"/>
    </row>
    <row r="314" spans="1:7" ht="14.25" customHeight="1" x14ac:dyDescent="0.3">
      <c r="A314" s="6">
        <v>321</v>
      </c>
      <c r="B314" s="6" t="s">
        <v>819</v>
      </c>
      <c r="C314" s="6" t="s">
        <v>734</v>
      </c>
      <c r="D314" s="6" t="s">
        <v>820</v>
      </c>
      <c r="E314" s="6" t="s">
        <v>821</v>
      </c>
      <c r="F314" s="6" t="s">
        <v>822</v>
      </c>
      <c r="G314" s="6"/>
    </row>
    <row r="315" spans="1:7" ht="14.25" customHeight="1" x14ac:dyDescent="0.3">
      <c r="A315" s="6">
        <v>322</v>
      </c>
      <c r="B315" s="6" t="s">
        <v>823</v>
      </c>
      <c r="C315" s="6" t="s">
        <v>734</v>
      </c>
      <c r="D315" s="6" t="s">
        <v>824</v>
      </c>
      <c r="E315" s="6" t="s">
        <v>821</v>
      </c>
      <c r="F315" s="6" t="s">
        <v>825</v>
      </c>
      <c r="G315" s="6"/>
    </row>
    <row r="316" spans="1:7" ht="14.25" customHeight="1" x14ac:dyDescent="0.3">
      <c r="A316" s="6">
        <v>323</v>
      </c>
      <c r="B316" s="6" t="s">
        <v>826</v>
      </c>
      <c r="C316" s="6" t="s">
        <v>734</v>
      </c>
      <c r="D316" s="6" t="s">
        <v>827</v>
      </c>
      <c r="E316" s="6" t="s">
        <v>63</v>
      </c>
      <c r="F316" s="6" t="s">
        <v>828</v>
      </c>
      <c r="G316" s="6"/>
    </row>
    <row r="317" spans="1:7" ht="14.25" customHeight="1" x14ac:dyDescent="0.3">
      <c r="A317" s="6">
        <v>324</v>
      </c>
      <c r="B317" s="6" t="s">
        <v>829</v>
      </c>
      <c r="C317" s="6" t="s">
        <v>734</v>
      </c>
      <c r="D317" s="6" t="s">
        <v>830</v>
      </c>
      <c r="E317" s="6" t="s">
        <v>63</v>
      </c>
      <c r="F317" s="6" t="s">
        <v>831</v>
      </c>
      <c r="G317" s="6"/>
    </row>
    <row r="318" spans="1:7" ht="14.25" customHeight="1" x14ac:dyDescent="0.3">
      <c r="A318" s="6">
        <v>325</v>
      </c>
      <c r="B318" s="6" t="s">
        <v>832</v>
      </c>
      <c r="C318" s="6" t="s">
        <v>734</v>
      </c>
      <c r="D318" s="6" t="s">
        <v>833</v>
      </c>
      <c r="E318" s="6" t="s">
        <v>63</v>
      </c>
      <c r="F318" s="6" t="s">
        <v>834</v>
      </c>
      <c r="G318" s="6"/>
    </row>
    <row r="319" spans="1:7" ht="14.25" customHeight="1" x14ac:dyDescent="0.3">
      <c r="A319" s="6">
        <v>326</v>
      </c>
      <c r="B319" s="6" t="s">
        <v>835</v>
      </c>
      <c r="C319" s="6" t="s">
        <v>734</v>
      </c>
      <c r="D319" s="6" t="s">
        <v>836</v>
      </c>
      <c r="E319" s="6" t="s">
        <v>63</v>
      </c>
      <c r="F319" s="6" t="s">
        <v>837</v>
      </c>
      <c r="G319" s="6"/>
    </row>
    <row r="320" spans="1:7" ht="14.25" customHeight="1" x14ac:dyDescent="0.3">
      <c r="A320" s="6">
        <v>327</v>
      </c>
      <c r="B320" s="6" t="s">
        <v>838</v>
      </c>
      <c r="C320" s="6" t="s">
        <v>734</v>
      </c>
      <c r="D320" s="6" t="s">
        <v>839</v>
      </c>
      <c r="E320" s="6" t="s">
        <v>63</v>
      </c>
      <c r="F320" s="6" t="s">
        <v>840</v>
      </c>
      <c r="G320" s="6"/>
    </row>
    <row r="321" spans="1:7" ht="14.25" customHeight="1" x14ac:dyDescent="0.3">
      <c r="A321" s="6">
        <v>328</v>
      </c>
      <c r="B321" s="6" t="s">
        <v>841</v>
      </c>
      <c r="C321" s="6" t="s">
        <v>734</v>
      </c>
      <c r="D321" s="6" t="s">
        <v>842</v>
      </c>
      <c r="E321" s="6" t="s">
        <v>10</v>
      </c>
      <c r="F321" s="6">
        <v>0.4</v>
      </c>
      <c r="G321" s="6"/>
    </row>
    <row r="322" spans="1:7" ht="14.25" customHeight="1" x14ac:dyDescent="0.3">
      <c r="A322" s="6">
        <v>329</v>
      </c>
      <c r="B322" s="6" t="s">
        <v>843</v>
      </c>
      <c r="C322" s="6" t="s">
        <v>734</v>
      </c>
      <c r="D322" s="6" t="s">
        <v>844</v>
      </c>
      <c r="E322" s="6" t="s">
        <v>10</v>
      </c>
      <c r="F322" s="6">
        <v>45507</v>
      </c>
      <c r="G322" s="6"/>
    </row>
    <row r="323" spans="1:7" ht="14.25" customHeight="1" x14ac:dyDescent="0.3">
      <c r="A323" s="6">
        <v>330</v>
      </c>
      <c r="B323" s="6" t="s">
        <v>845</v>
      </c>
      <c r="C323" s="6" t="s">
        <v>734</v>
      </c>
      <c r="D323" s="6" t="s">
        <v>846</v>
      </c>
      <c r="E323" s="6" t="s">
        <v>10</v>
      </c>
      <c r="F323" s="6">
        <v>45509</v>
      </c>
      <c r="G323" s="6"/>
    </row>
    <row r="324" spans="1:7" ht="14.25" customHeight="1" x14ac:dyDescent="0.3">
      <c r="A324" s="6">
        <v>331</v>
      </c>
      <c r="B324" s="6" t="s">
        <v>847</v>
      </c>
      <c r="C324" s="6" t="s">
        <v>734</v>
      </c>
      <c r="D324" s="6" t="s">
        <v>848</v>
      </c>
      <c r="E324" s="6" t="s">
        <v>10</v>
      </c>
      <c r="F324" s="6">
        <v>45509</v>
      </c>
      <c r="G324" s="6"/>
    </row>
    <row r="325" spans="1:7" ht="14.25" customHeight="1" x14ac:dyDescent="0.3">
      <c r="A325" s="6">
        <v>332</v>
      </c>
      <c r="B325" s="6" t="s">
        <v>849</v>
      </c>
      <c r="C325" s="6" t="s">
        <v>734</v>
      </c>
      <c r="D325" s="6" t="s">
        <v>850</v>
      </c>
      <c r="E325" s="6" t="s">
        <v>10</v>
      </c>
      <c r="F325" s="6">
        <v>45383</v>
      </c>
      <c r="G325" s="6"/>
    </row>
    <row r="326" spans="1:7" ht="14.25" customHeight="1" x14ac:dyDescent="0.3">
      <c r="A326" s="6">
        <v>333</v>
      </c>
      <c r="B326" s="6" t="s">
        <v>851</v>
      </c>
      <c r="C326" s="6" t="s">
        <v>734</v>
      </c>
      <c r="D326" s="6" t="s">
        <v>852</v>
      </c>
      <c r="E326" s="6" t="s">
        <v>10</v>
      </c>
      <c r="F326" s="6" t="s">
        <v>1371</v>
      </c>
      <c r="G326" s="6"/>
    </row>
    <row r="327" spans="1:7" ht="14.25" customHeight="1" x14ac:dyDescent="0.3">
      <c r="A327" s="6">
        <v>334</v>
      </c>
      <c r="B327" s="6" t="s">
        <v>853</v>
      </c>
      <c r="C327" s="6" t="s">
        <v>734</v>
      </c>
      <c r="D327" s="6" t="s">
        <v>854</v>
      </c>
      <c r="E327" s="6" t="s">
        <v>10</v>
      </c>
      <c r="F327" s="6">
        <v>45539</v>
      </c>
      <c r="G327" s="6"/>
    </row>
    <row r="328" spans="1:7" ht="14.25" customHeight="1" x14ac:dyDescent="0.3">
      <c r="A328" s="6">
        <v>335</v>
      </c>
      <c r="B328" s="6" t="s">
        <v>855</v>
      </c>
      <c r="C328" s="6" t="s">
        <v>734</v>
      </c>
      <c r="D328" s="6" t="s">
        <v>856</v>
      </c>
      <c r="E328" s="6" t="s">
        <v>10</v>
      </c>
      <c r="F328" s="6">
        <v>41456</v>
      </c>
      <c r="G328" s="6"/>
    </row>
    <row r="329" spans="1:7" ht="14.25" customHeight="1" x14ac:dyDescent="0.3">
      <c r="A329" s="6">
        <v>336</v>
      </c>
      <c r="B329" s="6" t="s">
        <v>857</v>
      </c>
      <c r="C329" s="6" t="s">
        <v>734</v>
      </c>
      <c r="D329" s="6" t="s">
        <v>858</v>
      </c>
      <c r="E329" s="6" t="s">
        <v>10</v>
      </c>
      <c r="F329" s="6" t="s">
        <v>859</v>
      </c>
      <c r="G329" s="6"/>
    </row>
    <row r="330" spans="1:7" ht="14.25" customHeight="1" x14ac:dyDescent="0.3">
      <c r="A330" s="6">
        <v>337</v>
      </c>
      <c r="B330" s="6" t="s">
        <v>860</v>
      </c>
      <c r="C330" s="6" t="s">
        <v>861</v>
      </c>
      <c r="D330" s="6" t="s">
        <v>862</v>
      </c>
      <c r="E330" s="6" t="s">
        <v>63</v>
      </c>
      <c r="F330" s="6" t="s">
        <v>863</v>
      </c>
      <c r="G330" s="6"/>
    </row>
    <row r="331" spans="1:7" ht="14.25" customHeight="1" x14ac:dyDescent="0.3">
      <c r="A331" s="6">
        <v>338</v>
      </c>
      <c r="B331" s="6" t="s">
        <v>864</v>
      </c>
      <c r="C331" s="6" t="s">
        <v>861</v>
      </c>
      <c r="D331" s="6">
        <v>5.6</v>
      </c>
      <c r="E331" s="6" t="s">
        <v>10</v>
      </c>
      <c r="F331" s="6">
        <v>5.6</v>
      </c>
      <c r="G331" s="6"/>
    </row>
    <row r="332" spans="1:7" ht="14.25" customHeight="1" x14ac:dyDescent="0.3">
      <c r="A332" s="6">
        <v>339</v>
      </c>
      <c r="B332" s="6" t="s">
        <v>865</v>
      </c>
      <c r="C332" s="6" t="s">
        <v>861</v>
      </c>
      <c r="D332" s="6">
        <v>0.57099999999999995</v>
      </c>
      <c r="E332" s="6" t="s">
        <v>10</v>
      </c>
      <c r="F332" s="6">
        <v>0.57099999999999995</v>
      </c>
      <c r="G332" s="6"/>
    </row>
    <row r="333" spans="1:7" ht="14.25" customHeight="1" x14ac:dyDescent="0.3">
      <c r="A333" s="6">
        <v>340</v>
      </c>
      <c r="B333" s="6" t="s">
        <v>866</v>
      </c>
      <c r="C333" s="6" t="s">
        <v>861</v>
      </c>
      <c r="D333" s="6">
        <v>0.93</v>
      </c>
      <c r="E333" s="6" t="s">
        <v>10</v>
      </c>
      <c r="F333" s="6">
        <v>0.93</v>
      </c>
      <c r="G333" s="6"/>
    </row>
    <row r="334" spans="1:7" ht="14.25" customHeight="1" x14ac:dyDescent="0.3">
      <c r="A334" s="6">
        <v>341</v>
      </c>
      <c r="B334" s="6" t="s">
        <v>867</v>
      </c>
      <c r="C334" s="6" t="s">
        <v>861</v>
      </c>
      <c r="D334" s="6" t="s">
        <v>868</v>
      </c>
      <c r="E334" s="6" t="s">
        <v>63</v>
      </c>
      <c r="F334" s="6" t="s">
        <v>869</v>
      </c>
      <c r="G334" s="6"/>
    </row>
    <row r="335" spans="1:7" ht="14.25" customHeight="1" x14ac:dyDescent="0.3">
      <c r="A335" s="6">
        <v>342</v>
      </c>
      <c r="B335" s="6" t="s">
        <v>870</v>
      </c>
      <c r="C335" s="6" t="s">
        <v>861</v>
      </c>
      <c r="D335" s="6" t="s">
        <v>871</v>
      </c>
      <c r="E335" s="6" t="s">
        <v>63</v>
      </c>
      <c r="F335" s="6" t="s">
        <v>872</v>
      </c>
      <c r="G335" s="6"/>
    </row>
    <row r="336" spans="1:7" ht="14.25" customHeight="1" x14ac:dyDescent="0.3">
      <c r="A336" s="6">
        <v>343</v>
      </c>
      <c r="B336" s="6" t="s">
        <v>873</v>
      </c>
      <c r="C336" s="6" t="s">
        <v>861</v>
      </c>
      <c r="D336" s="6" t="s">
        <v>874</v>
      </c>
      <c r="E336" s="6" t="s">
        <v>63</v>
      </c>
      <c r="F336" s="6" t="s">
        <v>875</v>
      </c>
      <c r="G336" s="6"/>
    </row>
    <row r="337" spans="1:7" ht="14.25" customHeight="1" x14ac:dyDescent="0.3">
      <c r="A337" s="6">
        <v>344</v>
      </c>
      <c r="B337" s="6" t="s">
        <v>876</v>
      </c>
      <c r="C337" s="6" t="s">
        <v>861</v>
      </c>
      <c r="D337" s="6" t="s">
        <v>877</v>
      </c>
      <c r="E337" s="6" t="s">
        <v>63</v>
      </c>
      <c r="F337" s="6" t="s">
        <v>878</v>
      </c>
      <c r="G337" s="6"/>
    </row>
    <row r="338" spans="1:7" ht="14.25" customHeight="1" x14ac:dyDescent="0.3">
      <c r="A338" s="6">
        <v>345</v>
      </c>
      <c r="B338" s="6" t="s">
        <v>879</v>
      </c>
      <c r="C338" s="6" t="s">
        <v>861</v>
      </c>
      <c r="D338" s="6" t="s">
        <v>880</v>
      </c>
      <c r="E338" s="6" t="s">
        <v>63</v>
      </c>
      <c r="F338" s="6" t="s">
        <v>881</v>
      </c>
      <c r="G338" s="6"/>
    </row>
    <row r="339" spans="1:7" ht="14.25" customHeight="1" x14ac:dyDescent="0.3">
      <c r="A339" s="6">
        <v>346</v>
      </c>
      <c r="B339" s="6" t="s">
        <v>882</v>
      </c>
      <c r="C339" s="6" t="s">
        <v>861</v>
      </c>
      <c r="D339" s="6" t="s">
        <v>883</v>
      </c>
      <c r="E339" s="6" t="s">
        <v>63</v>
      </c>
      <c r="F339" s="6" t="s">
        <v>884</v>
      </c>
      <c r="G339" s="6"/>
    </row>
    <row r="340" spans="1:7" ht="14.25" customHeight="1" x14ac:dyDescent="0.3">
      <c r="A340" s="6">
        <v>347</v>
      </c>
      <c r="B340" s="6" t="s">
        <v>885</v>
      </c>
      <c r="C340" s="6" t="s">
        <v>861</v>
      </c>
      <c r="D340" s="6" t="s">
        <v>886</v>
      </c>
      <c r="E340" s="6" t="s">
        <v>63</v>
      </c>
      <c r="F340" s="6" t="s">
        <v>887</v>
      </c>
      <c r="G340" s="6"/>
    </row>
    <row r="341" spans="1:7" ht="14.25" customHeight="1" x14ac:dyDescent="0.3">
      <c r="A341" s="6">
        <v>348</v>
      </c>
      <c r="B341" s="6" t="s">
        <v>888</v>
      </c>
      <c r="C341" s="6" t="s">
        <v>861</v>
      </c>
      <c r="D341" s="6" t="s">
        <v>889</v>
      </c>
      <c r="E341" s="6" t="s">
        <v>109</v>
      </c>
      <c r="F341" s="6" t="s">
        <v>110</v>
      </c>
      <c r="G341" s="6"/>
    </row>
    <row r="342" spans="1:7" ht="14.25" customHeight="1" x14ac:dyDescent="0.3">
      <c r="A342" s="6">
        <v>349</v>
      </c>
      <c r="B342" s="6" t="s">
        <v>890</v>
      </c>
      <c r="C342" s="6" t="s">
        <v>861</v>
      </c>
      <c r="D342" s="6" t="s">
        <v>891</v>
      </c>
      <c r="E342" s="6" t="s">
        <v>109</v>
      </c>
      <c r="F342" s="6" t="s">
        <v>110</v>
      </c>
      <c r="G342" s="6"/>
    </row>
    <row r="343" spans="1:7" ht="14.25" customHeight="1" x14ac:dyDescent="0.3">
      <c r="A343" s="6">
        <v>350</v>
      </c>
      <c r="B343" s="6" t="s">
        <v>892</v>
      </c>
      <c r="C343" s="6" t="s">
        <v>861</v>
      </c>
      <c r="D343" s="6" t="s">
        <v>893</v>
      </c>
      <c r="E343" s="6" t="s">
        <v>63</v>
      </c>
      <c r="F343" s="6" t="s">
        <v>894</v>
      </c>
      <c r="G343" s="6"/>
    </row>
    <row r="344" spans="1:7" ht="14.25" customHeight="1" x14ac:dyDescent="0.3">
      <c r="A344" s="6">
        <v>351</v>
      </c>
      <c r="B344" s="6" t="s">
        <v>895</v>
      </c>
      <c r="C344" s="6" t="s">
        <v>861</v>
      </c>
      <c r="D344" s="6" t="s">
        <v>896</v>
      </c>
      <c r="E344" s="6" t="s">
        <v>63</v>
      </c>
      <c r="F344" s="6" t="s">
        <v>897</v>
      </c>
      <c r="G344" s="6"/>
    </row>
    <row r="345" spans="1:7" ht="14.25" customHeight="1" x14ac:dyDescent="0.3">
      <c r="A345" s="6">
        <v>352</v>
      </c>
      <c r="B345" s="6" t="s">
        <v>898</v>
      </c>
      <c r="C345" s="6" t="s">
        <v>861</v>
      </c>
      <c r="D345" s="6" t="s">
        <v>899</v>
      </c>
      <c r="E345" s="6" t="s">
        <v>821</v>
      </c>
      <c r="F345" s="6" t="s">
        <v>900</v>
      </c>
      <c r="G345" s="6"/>
    </row>
    <row r="346" spans="1:7" ht="14.25" customHeight="1" x14ac:dyDescent="0.3">
      <c r="A346" s="6">
        <v>353</v>
      </c>
      <c r="B346" s="6" t="s">
        <v>901</v>
      </c>
      <c r="C346" s="6" t="s">
        <v>861</v>
      </c>
      <c r="D346" s="6" t="s">
        <v>902</v>
      </c>
      <c r="E346" s="6" t="s">
        <v>10</v>
      </c>
      <c r="F346" s="6">
        <v>30</v>
      </c>
      <c r="G346" s="6"/>
    </row>
    <row r="347" spans="1:7" ht="14.25" customHeight="1" x14ac:dyDescent="0.3">
      <c r="A347" s="6">
        <v>354</v>
      </c>
      <c r="B347" s="6" t="s">
        <v>903</v>
      </c>
      <c r="C347" s="6" t="s">
        <v>861</v>
      </c>
      <c r="D347" s="6" t="s">
        <v>904</v>
      </c>
      <c r="E347" s="6" t="s">
        <v>63</v>
      </c>
      <c r="F347" s="6" t="s">
        <v>905</v>
      </c>
      <c r="G347" s="6"/>
    </row>
    <row r="348" spans="1:7" ht="14.25" customHeight="1" x14ac:dyDescent="0.3">
      <c r="A348" s="6">
        <v>355</v>
      </c>
      <c r="B348" s="6" t="s">
        <v>906</v>
      </c>
      <c r="C348" s="6" t="s">
        <v>861</v>
      </c>
      <c r="D348" s="6" t="s">
        <v>907</v>
      </c>
      <c r="E348" s="6" t="s">
        <v>109</v>
      </c>
      <c r="F348" s="6" t="s">
        <v>110</v>
      </c>
      <c r="G348" s="6"/>
    </row>
    <row r="349" spans="1:7" ht="14.25" customHeight="1" x14ac:dyDescent="0.3">
      <c r="A349" s="6">
        <v>356</v>
      </c>
      <c r="B349" s="6" t="s">
        <v>908</v>
      </c>
      <c r="C349" s="6" t="s">
        <v>861</v>
      </c>
      <c r="D349" s="6" t="s">
        <v>909</v>
      </c>
      <c r="E349" s="6" t="s">
        <v>109</v>
      </c>
      <c r="F349" s="6" t="s">
        <v>163</v>
      </c>
      <c r="G349" s="6"/>
    </row>
    <row r="350" spans="1:7" ht="14.25" customHeight="1" x14ac:dyDescent="0.3">
      <c r="A350" s="6">
        <v>357</v>
      </c>
      <c r="B350" s="6" t="s">
        <v>910</v>
      </c>
      <c r="C350" s="6" t="s">
        <v>861</v>
      </c>
      <c r="D350" s="6" t="s">
        <v>911</v>
      </c>
      <c r="E350" s="6" t="s">
        <v>109</v>
      </c>
      <c r="F350" s="6" t="s">
        <v>110</v>
      </c>
      <c r="G350" s="6"/>
    </row>
    <row r="351" spans="1:7" ht="14.25" customHeight="1" x14ac:dyDescent="0.3">
      <c r="A351" s="6">
        <v>358</v>
      </c>
      <c r="B351" s="6" t="s">
        <v>912</v>
      </c>
      <c r="C351" s="6" t="s">
        <v>861</v>
      </c>
      <c r="D351" s="6" t="s">
        <v>913</v>
      </c>
      <c r="E351" s="6" t="s">
        <v>109</v>
      </c>
      <c r="F351" s="6" t="s">
        <v>110</v>
      </c>
      <c r="G351" s="6"/>
    </row>
    <row r="352" spans="1:7" ht="14.25" customHeight="1" x14ac:dyDescent="0.3">
      <c r="A352" s="6">
        <v>359</v>
      </c>
      <c r="B352" s="6" t="s">
        <v>914</v>
      </c>
      <c r="C352" s="6" t="s">
        <v>861</v>
      </c>
      <c r="D352" s="6" t="s">
        <v>915</v>
      </c>
      <c r="E352" s="6" t="s">
        <v>109</v>
      </c>
      <c r="F352" s="6" t="s">
        <v>110</v>
      </c>
      <c r="G352" s="6"/>
    </row>
    <row r="353" spans="1:7" ht="14.25" customHeight="1" x14ac:dyDescent="0.3">
      <c r="A353" s="6">
        <v>360</v>
      </c>
      <c r="B353" s="6" t="s">
        <v>916</v>
      </c>
      <c r="C353" s="6" t="s">
        <v>861</v>
      </c>
      <c r="D353" s="6" t="s">
        <v>917</v>
      </c>
      <c r="E353" s="6" t="s">
        <v>109</v>
      </c>
      <c r="F353" s="6" t="s">
        <v>110</v>
      </c>
      <c r="G353" s="6"/>
    </row>
    <row r="354" spans="1:7" ht="14.25" customHeight="1" x14ac:dyDescent="0.3">
      <c r="A354" s="6">
        <v>361</v>
      </c>
      <c r="B354" s="6" t="s">
        <v>918</v>
      </c>
      <c r="C354" s="6" t="s">
        <v>861</v>
      </c>
      <c r="D354" s="6" t="s">
        <v>919</v>
      </c>
      <c r="E354" s="6" t="s">
        <v>63</v>
      </c>
      <c r="F354" s="6" t="s">
        <v>920</v>
      </c>
      <c r="G354" s="6"/>
    </row>
    <row r="355" spans="1:7" ht="14.25" customHeight="1" x14ac:dyDescent="0.3">
      <c r="A355" s="6">
        <v>362</v>
      </c>
      <c r="B355" s="6" t="s">
        <v>921</v>
      </c>
      <c r="C355" s="6" t="s">
        <v>861</v>
      </c>
      <c r="D355" s="6" t="s">
        <v>922</v>
      </c>
      <c r="E355" s="6" t="s">
        <v>63</v>
      </c>
      <c r="F355" s="6" t="s">
        <v>923</v>
      </c>
      <c r="G355" s="6"/>
    </row>
    <row r="356" spans="1:7" ht="14.25" customHeight="1" x14ac:dyDescent="0.3">
      <c r="A356" s="6">
        <v>363</v>
      </c>
      <c r="B356" s="6" t="s">
        <v>924</v>
      </c>
      <c r="C356" s="6" t="s">
        <v>861</v>
      </c>
      <c r="D356" s="6" t="s">
        <v>925</v>
      </c>
      <c r="E356" s="6" t="s">
        <v>63</v>
      </c>
      <c r="F356" s="6" t="s">
        <v>926</v>
      </c>
      <c r="G356" s="6"/>
    </row>
    <row r="357" spans="1:7" ht="14.25" customHeight="1" x14ac:dyDescent="0.3">
      <c r="A357" s="6">
        <v>364</v>
      </c>
      <c r="B357" s="6" t="s">
        <v>927</v>
      </c>
      <c r="C357" s="6" t="s">
        <v>861</v>
      </c>
      <c r="D357" s="6" t="s">
        <v>928</v>
      </c>
      <c r="E357" s="6" t="s">
        <v>63</v>
      </c>
      <c r="F357" s="6" t="s">
        <v>929</v>
      </c>
      <c r="G357" s="6"/>
    </row>
    <row r="358" spans="1:7" ht="14.25" customHeight="1" x14ac:dyDescent="0.3">
      <c r="A358" s="6">
        <v>365</v>
      </c>
      <c r="B358" s="6" t="s">
        <v>930</v>
      </c>
      <c r="C358" s="6" t="s">
        <v>861</v>
      </c>
      <c r="D358" s="6" t="s">
        <v>931</v>
      </c>
      <c r="E358" s="6" t="s">
        <v>109</v>
      </c>
      <c r="F358" s="6" t="s">
        <v>110</v>
      </c>
      <c r="G358" s="6"/>
    </row>
    <row r="359" spans="1:7" ht="14.25" customHeight="1" x14ac:dyDescent="0.3">
      <c r="A359" s="6">
        <v>366</v>
      </c>
      <c r="B359" s="6" t="s">
        <v>1354</v>
      </c>
      <c r="C359" s="6" t="s">
        <v>861</v>
      </c>
      <c r="D359" s="6" t="s">
        <v>932</v>
      </c>
      <c r="E359" s="6" t="s">
        <v>63</v>
      </c>
      <c r="F359" s="6" t="s">
        <v>933</v>
      </c>
      <c r="G359" s="6"/>
    </row>
    <row r="360" spans="1:7" ht="14.25" customHeight="1" x14ac:dyDescent="0.3">
      <c r="A360" s="6">
        <v>367</v>
      </c>
      <c r="B360" s="6" t="s">
        <v>934</v>
      </c>
      <c r="C360" s="6" t="s">
        <v>861</v>
      </c>
      <c r="D360" s="6" t="s">
        <v>935</v>
      </c>
      <c r="E360" s="6" t="s">
        <v>63</v>
      </c>
      <c r="F360" s="6" t="s">
        <v>936</v>
      </c>
      <c r="G360" s="6"/>
    </row>
    <row r="361" spans="1:7" ht="14.25" customHeight="1" x14ac:dyDescent="0.3">
      <c r="A361" s="6">
        <v>368</v>
      </c>
      <c r="B361" s="6" t="s">
        <v>937</v>
      </c>
      <c r="C361" s="6" t="s">
        <v>861</v>
      </c>
      <c r="D361" s="6" t="s">
        <v>938</v>
      </c>
      <c r="E361" s="6" t="s">
        <v>63</v>
      </c>
      <c r="F361" s="6" t="s">
        <v>939</v>
      </c>
      <c r="G361" s="6"/>
    </row>
    <row r="362" spans="1:7" ht="14.25" customHeight="1" x14ac:dyDescent="0.3">
      <c r="A362" s="6">
        <v>369</v>
      </c>
      <c r="B362" s="6" t="s">
        <v>940</v>
      </c>
      <c r="C362" s="6" t="s">
        <v>720</v>
      </c>
      <c r="D362" s="6" t="s">
        <v>941</v>
      </c>
      <c r="E362" s="6" t="s">
        <v>10</v>
      </c>
      <c r="F362" s="6">
        <v>-11</v>
      </c>
      <c r="G362" s="6"/>
    </row>
    <row r="363" spans="1:7" ht="14.25" customHeight="1" x14ac:dyDescent="0.3">
      <c r="A363" s="6">
        <v>370</v>
      </c>
      <c r="B363" s="6" t="s">
        <v>942</v>
      </c>
      <c r="C363" s="6" t="s">
        <v>720</v>
      </c>
      <c r="D363" s="6" t="s">
        <v>943</v>
      </c>
      <c r="E363" s="6" t="s">
        <v>10</v>
      </c>
      <c r="F363" s="6">
        <v>13</v>
      </c>
      <c r="G363" s="6"/>
    </row>
    <row r="364" spans="1:7" ht="14.25" customHeight="1" x14ac:dyDescent="0.3">
      <c r="A364" s="6">
        <v>371</v>
      </c>
      <c r="B364" s="6" t="s">
        <v>944</v>
      </c>
      <c r="C364" s="6" t="s">
        <v>720</v>
      </c>
      <c r="D364" s="6" t="s">
        <v>945</v>
      </c>
      <c r="E364" s="6" t="s">
        <v>10</v>
      </c>
      <c r="F364" s="6">
        <v>-50</v>
      </c>
      <c r="G364" s="6"/>
    </row>
    <row r="365" spans="1:7" ht="14.25" customHeight="1" x14ac:dyDescent="0.3">
      <c r="A365" s="6">
        <v>372</v>
      </c>
      <c r="B365" s="6" t="s">
        <v>946</v>
      </c>
      <c r="C365" s="6" t="s">
        <v>720</v>
      </c>
      <c r="D365" s="6" t="s">
        <v>947</v>
      </c>
      <c r="E365" s="6" t="s">
        <v>10</v>
      </c>
      <c r="F365" s="6">
        <v>33</v>
      </c>
      <c r="G365" s="6"/>
    </row>
    <row r="366" spans="1:7" ht="14.25" customHeight="1" x14ac:dyDescent="0.3">
      <c r="A366" s="6">
        <v>373</v>
      </c>
      <c r="B366" s="6" t="s">
        <v>948</v>
      </c>
      <c r="C366" s="6" t="s">
        <v>720</v>
      </c>
      <c r="D366" s="6" t="s">
        <v>949</v>
      </c>
      <c r="E366" s="6" t="s">
        <v>10</v>
      </c>
      <c r="F366" s="6">
        <v>-80</v>
      </c>
      <c r="G366" s="6"/>
    </row>
    <row r="367" spans="1:7" ht="14.25" customHeight="1" x14ac:dyDescent="0.3">
      <c r="A367" s="6">
        <v>374</v>
      </c>
      <c r="B367" s="6" t="s">
        <v>950</v>
      </c>
      <c r="C367" s="6" t="s">
        <v>720</v>
      </c>
      <c r="D367" s="6" t="s">
        <v>951</v>
      </c>
      <c r="E367" s="6" t="s">
        <v>10</v>
      </c>
      <c r="F367" s="6">
        <v>67</v>
      </c>
      <c r="G367" s="6"/>
    </row>
    <row r="368" spans="1:7" ht="14.25" customHeight="1" x14ac:dyDescent="0.3">
      <c r="A368" s="6">
        <v>375</v>
      </c>
      <c r="B368" s="6" t="s">
        <v>952</v>
      </c>
      <c r="C368" s="6" t="s">
        <v>720</v>
      </c>
      <c r="D368" s="6" t="s">
        <v>953</v>
      </c>
      <c r="E368" s="6" t="s">
        <v>10</v>
      </c>
      <c r="F368" s="6">
        <v>9</v>
      </c>
      <c r="G368" s="6"/>
    </row>
    <row r="369" spans="1:7" ht="14.25" customHeight="1" x14ac:dyDescent="0.3">
      <c r="A369" s="6">
        <v>376</v>
      </c>
      <c r="B369" s="6" t="s">
        <v>954</v>
      </c>
      <c r="C369" s="6" t="s">
        <v>720</v>
      </c>
      <c r="D369" s="6" t="s">
        <v>955</v>
      </c>
      <c r="E369" s="6" t="s">
        <v>10</v>
      </c>
      <c r="F369" s="6">
        <v>-69</v>
      </c>
      <c r="G369" s="6"/>
    </row>
    <row r="370" spans="1:7" ht="14.25" customHeight="1" x14ac:dyDescent="0.3">
      <c r="A370" s="6">
        <v>377</v>
      </c>
      <c r="B370" s="6" t="s">
        <v>956</v>
      </c>
      <c r="C370" s="6" t="s">
        <v>720</v>
      </c>
      <c r="D370" s="6" t="s">
        <v>957</v>
      </c>
      <c r="E370" s="6" t="s">
        <v>10</v>
      </c>
      <c r="F370" s="6" t="s">
        <v>957</v>
      </c>
      <c r="G370" s="6"/>
    </row>
    <row r="371" spans="1:7" ht="14.25" customHeight="1" x14ac:dyDescent="0.3">
      <c r="A371" s="6">
        <v>378</v>
      </c>
      <c r="B371" s="6" t="s">
        <v>958</v>
      </c>
      <c r="C371" s="6" t="s">
        <v>720</v>
      </c>
      <c r="D371" s="6" t="s">
        <v>959</v>
      </c>
      <c r="E371" s="6" t="s">
        <v>10</v>
      </c>
      <c r="F371" s="6">
        <f>-3/20</f>
        <v>-0.15</v>
      </c>
      <c r="G371" s="6"/>
    </row>
    <row r="372" spans="1:7" ht="14.25" customHeight="1" x14ac:dyDescent="0.3">
      <c r="A372" s="6">
        <v>379</v>
      </c>
      <c r="B372" s="6" t="s">
        <v>960</v>
      </c>
      <c r="C372" s="6" t="s">
        <v>720</v>
      </c>
      <c r="D372" s="6" t="s">
        <v>1376</v>
      </c>
      <c r="E372" s="6" t="s">
        <v>10</v>
      </c>
      <c r="F372" s="6">
        <v>45509</v>
      </c>
      <c r="G372" s="6"/>
    </row>
    <row r="373" spans="1:7" ht="14.25" customHeight="1" x14ac:dyDescent="0.3">
      <c r="A373" s="6">
        <v>380</v>
      </c>
      <c r="B373" s="6" t="s">
        <v>961</v>
      </c>
      <c r="C373" s="6" t="s">
        <v>720</v>
      </c>
      <c r="D373" s="6" t="s">
        <v>962</v>
      </c>
      <c r="E373" s="6" t="s">
        <v>10</v>
      </c>
      <c r="F373" s="6">
        <f>-32/5</f>
        <v>-6.4</v>
      </c>
      <c r="G373" s="6"/>
    </row>
    <row r="374" spans="1:7" ht="14.25" customHeight="1" x14ac:dyDescent="0.3">
      <c r="A374" s="6">
        <v>381</v>
      </c>
      <c r="B374" s="6" t="s">
        <v>963</v>
      </c>
      <c r="C374" s="6" t="s">
        <v>720</v>
      </c>
      <c r="D374" s="6" t="s">
        <v>964</v>
      </c>
      <c r="E374" s="6" t="s">
        <v>10</v>
      </c>
      <c r="F374" s="6" t="s">
        <v>1370</v>
      </c>
      <c r="G374" s="6"/>
    </row>
    <row r="375" spans="1:7" ht="14.25" customHeight="1" x14ac:dyDescent="0.3">
      <c r="A375" s="6">
        <v>382</v>
      </c>
      <c r="B375" s="6" t="s">
        <v>965</v>
      </c>
      <c r="C375" s="6" t="s">
        <v>720</v>
      </c>
      <c r="D375" s="6" t="s">
        <v>966</v>
      </c>
      <c r="E375" s="6" t="s">
        <v>10</v>
      </c>
      <c r="F375" s="6">
        <v>-80.900000000000006</v>
      </c>
      <c r="G375" s="6"/>
    </row>
    <row r="376" spans="1:7" ht="14.25" customHeight="1" x14ac:dyDescent="0.3">
      <c r="A376" s="6">
        <v>383</v>
      </c>
      <c r="B376" s="6" t="s">
        <v>967</v>
      </c>
      <c r="C376" s="6" t="s">
        <v>720</v>
      </c>
      <c r="D376" s="6">
        <v>-36</v>
      </c>
      <c r="E376" s="6" t="s">
        <v>10</v>
      </c>
      <c r="F376" s="6">
        <v>-36</v>
      </c>
      <c r="G376" s="6"/>
    </row>
    <row r="377" spans="1:7" ht="14.25" customHeight="1" x14ac:dyDescent="0.3">
      <c r="A377" s="6">
        <v>384</v>
      </c>
      <c r="B377" s="6" t="s">
        <v>968</v>
      </c>
      <c r="C377" s="6" t="s">
        <v>720</v>
      </c>
      <c r="D377" s="6">
        <v>-87.4</v>
      </c>
      <c r="E377" s="6" t="s">
        <v>10</v>
      </c>
      <c r="F377" s="6">
        <v>-87.4</v>
      </c>
      <c r="G377" s="6"/>
    </row>
    <row r="378" spans="1:7" ht="14.25" customHeight="1" x14ac:dyDescent="0.3">
      <c r="A378" s="6">
        <v>385</v>
      </c>
      <c r="B378" s="6" t="s">
        <v>969</v>
      </c>
      <c r="C378" s="6" t="s">
        <v>720</v>
      </c>
      <c r="D378" s="6" t="s">
        <v>970</v>
      </c>
      <c r="E378" s="6" t="s">
        <v>10</v>
      </c>
      <c r="F378" s="6">
        <f>-46/35</f>
        <v>-1.3142857142857143</v>
      </c>
      <c r="G378" s="6"/>
    </row>
    <row r="379" spans="1:7" ht="14.25" customHeight="1" x14ac:dyDescent="0.3">
      <c r="A379" s="6">
        <v>386</v>
      </c>
      <c r="B379" s="6" t="s">
        <v>971</v>
      </c>
      <c r="C379" s="6" t="s">
        <v>720</v>
      </c>
      <c r="D379" s="6" t="s">
        <v>972</v>
      </c>
      <c r="E379" s="6" t="s">
        <v>10</v>
      </c>
      <c r="F379" s="6">
        <f>-5/12</f>
        <v>-0.41666666666666669</v>
      </c>
      <c r="G379" s="6"/>
    </row>
    <row r="380" spans="1:7" ht="14.25" customHeight="1" x14ac:dyDescent="0.3">
      <c r="A380" s="6">
        <v>387</v>
      </c>
      <c r="B380" s="6" t="s">
        <v>973</v>
      </c>
      <c r="C380" s="6" t="s">
        <v>720</v>
      </c>
      <c r="D380" s="6" t="s">
        <v>974</v>
      </c>
      <c r="E380" s="6" t="s">
        <v>10</v>
      </c>
      <c r="F380" s="6" t="s">
        <v>975</v>
      </c>
      <c r="G380" s="6"/>
    </row>
    <row r="381" spans="1:7" ht="14.25" customHeight="1" x14ac:dyDescent="0.3">
      <c r="A381" s="6">
        <v>388</v>
      </c>
      <c r="B381" s="6" t="s">
        <v>976</v>
      </c>
      <c r="C381" s="6" t="s">
        <v>720</v>
      </c>
      <c r="D381" s="6" t="s">
        <v>977</v>
      </c>
      <c r="E381" s="6" t="s">
        <v>10</v>
      </c>
      <c r="F381" s="6" t="s">
        <v>1369</v>
      </c>
      <c r="G381" s="6"/>
    </row>
    <row r="382" spans="1:7" ht="14.25" customHeight="1" x14ac:dyDescent="0.3">
      <c r="A382" s="6">
        <v>389</v>
      </c>
      <c r="B382" s="6" t="s">
        <v>978</v>
      </c>
      <c r="C382" s="6" t="s">
        <v>720</v>
      </c>
      <c r="D382" s="6" t="s">
        <v>979</v>
      </c>
      <c r="E382" s="6" t="s">
        <v>10</v>
      </c>
      <c r="F382" s="6">
        <v>45519</v>
      </c>
      <c r="G382" s="6"/>
    </row>
    <row r="383" spans="1:7" ht="14.25" customHeight="1" x14ac:dyDescent="0.3">
      <c r="A383" s="6">
        <v>390</v>
      </c>
      <c r="B383" s="6" t="s">
        <v>980</v>
      </c>
      <c r="C383" s="6" t="s">
        <v>720</v>
      </c>
      <c r="D383" s="6">
        <v>3000</v>
      </c>
      <c r="E383" s="6" t="s">
        <v>10</v>
      </c>
      <c r="F383" s="6">
        <v>3000</v>
      </c>
      <c r="G383" s="6"/>
    </row>
    <row r="384" spans="1:7" ht="14.25" customHeight="1" x14ac:dyDescent="0.3">
      <c r="A384" s="6">
        <v>391</v>
      </c>
      <c r="B384" s="6" t="s">
        <v>981</v>
      </c>
      <c r="C384" s="6" t="s">
        <v>720</v>
      </c>
      <c r="D384" s="6">
        <v>-4.3979999999999997</v>
      </c>
      <c r="E384" s="6" t="s">
        <v>10</v>
      </c>
      <c r="F384" s="6">
        <v>-4.3979999999999997</v>
      </c>
      <c r="G384" s="6"/>
    </row>
    <row r="385" spans="1:7" ht="14.25" customHeight="1" x14ac:dyDescent="0.3">
      <c r="A385" s="6">
        <v>392</v>
      </c>
      <c r="B385" s="6" t="s">
        <v>982</v>
      </c>
      <c r="C385" s="6" t="s">
        <v>720</v>
      </c>
      <c r="D385" s="6">
        <v>-439</v>
      </c>
      <c r="E385" s="6" t="s">
        <v>10</v>
      </c>
      <c r="F385" s="6">
        <v>-439</v>
      </c>
      <c r="G385" s="6"/>
    </row>
    <row r="386" spans="1:7" ht="14.25" customHeight="1" x14ac:dyDescent="0.3">
      <c r="A386" s="6">
        <v>393</v>
      </c>
      <c r="B386" s="6" t="s">
        <v>983</v>
      </c>
      <c r="C386" s="6" t="s">
        <v>8</v>
      </c>
      <c r="D386" s="6" t="s">
        <v>984</v>
      </c>
      <c r="E386" s="6" t="s">
        <v>49</v>
      </c>
      <c r="F386" s="15" t="s">
        <v>985</v>
      </c>
      <c r="G386" s="6"/>
    </row>
    <row r="387" spans="1:7" ht="14.25" customHeight="1" x14ac:dyDescent="0.3">
      <c r="A387" s="6">
        <v>394</v>
      </c>
      <c r="B387" s="6" t="s">
        <v>986</v>
      </c>
      <c r="C387" s="6" t="s">
        <v>8</v>
      </c>
      <c r="D387" s="6" t="s">
        <v>987</v>
      </c>
      <c r="E387" s="6" t="s">
        <v>591</v>
      </c>
      <c r="F387" s="6" t="s">
        <v>988</v>
      </c>
      <c r="G387" s="6"/>
    </row>
    <row r="388" spans="1:7" ht="14.25" customHeight="1" x14ac:dyDescent="0.3">
      <c r="A388" s="6">
        <v>395</v>
      </c>
      <c r="B388" s="6" t="s">
        <v>989</v>
      </c>
      <c r="C388" s="6" t="s">
        <v>8</v>
      </c>
      <c r="D388" s="6" t="s">
        <v>990</v>
      </c>
      <c r="E388" s="6" t="s">
        <v>63</v>
      </c>
      <c r="F388" s="6" t="s">
        <v>991</v>
      </c>
      <c r="G388" s="6"/>
    </row>
    <row r="389" spans="1:7" ht="14.25" customHeight="1" x14ac:dyDescent="0.3">
      <c r="A389" s="6">
        <v>396</v>
      </c>
      <c r="B389" s="6" t="s">
        <v>992</v>
      </c>
      <c r="C389" s="6" t="s">
        <v>8</v>
      </c>
      <c r="D389" s="6" t="s">
        <v>993</v>
      </c>
      <c r="E389" s="6" t="s">
        <v>63</v>
      </c>
      <c r="F389" s="6" t="s">
        <v>994</v>
      </c>
      <c r="G389" s="6"/>
    </row>
    <row r="390" spans="1:7" ht="14.25" customHeight="1" x14ac:dyDescent="0.3">
      <c r="A390" s="6">
        <v>397</v>
      </c>
      <c r="B390" s="6" t="s">
        <v>995</v>
      </c>
      <c r="C390" s="6" t="s">
        <v>8</v>
      </c>
      <c r="D390" s="6" t="s">
        <v>996</v>
      </c>
      <c r="E390" s="6" t="s">
        <v>10</v>
      </c>
      <c r="F390" s="6" t="s">
        <v>997</v>
      </c>
      <c r="G390" s="6"/>
    </row>
    <row r="391" spans="1:7" ht="14.25" customHeight="1" x14ac:dyDescent="0.3">
      <c r="A391" s="6">
        <v>398</v>
      </c>
      <c r="B391" s="6" t="s">
        <v>998</v>
      </c>
      <c r="C391" s="6" t="s">
        <v>8</v>
      </c>
      <c r="D391" s="6" t="s">
        <v>999</v>
      </c>
      <c r="E391" s="6" t="s">
        <v>10</v>
      </c>
      <c r="F391" s="6" t="s">
        <v>17</v>
      </c>
      <c r="G391" s="6"/>
    </row>
    <row r="392" spans="1:7" ht="14.25" customHeight="1" x14ac:dyDescent="0.3">
      <c r="A392" s="6">
        <v>399</v>
      </c>
      <c r="B392" s="6" t="s">
        <v>1000</v>
      </c>
      <c r="C392" s="6" t="s">
        <v>8</v>
      </c>
      <c r="D392" s="6" t="s">
        <v>1001</v>
      </c>
      <c r="E392" s="6" t="s">
        <v>10</v>
      </c>
      <c r="F392" s="6" t="s">
        <v>1002</v>
      </c>
      <c r="G392" s="6"/>
    </row>
    <row r="393" spans="1:7" ht="14.25" customHeight="1" x14ac:dyDescent="0.3">
      <c r="A393" s="6">
        <v>400</v>
      </c>
      <c r="B393" s="6" t="s">
        <v>1003</v>
      </c>
      <c r="C393" s="6" t="s">
        <v>8</v>
      </c>
      <c r="D393" s="6" t="s">
        <v>1004</v>
      </c>
      <c r="E393" s="6" t="s">
        <v>10</v>
      </c>
      <c r="F393" s="6" t="s">
        <v>532</v>
      </c>
      <c r="G393" s="6"/>
    </row>
    <row r="394" spans="1:7" ht="14.25" customHeight="1" x14ac:dyDescent="0.3">
      <c r="A394" s="6">
        <v>401</v>
      </c>
      <c r="B394" s="6" t="s">
        <v>1005</v>
      </c>
      <c r="C394" s="6" t="s">
        <v>720</v>
      </c>
      <c r="D394" s="6">
        <v>0.08</v>
      </c>
      <c r="E394" s="6" t="s">
        <v>10</v>
      </c>
      <c r="F394" s="6">
        <v>0.08</v>
      </c>
      <c r="G394" s="6"/>
    </row>
    <row r="395" spans="1:7" ht="14.25" customHeight="1" x14ac:dyDescent="0.3">
      <c r="A395" s="6">
        <v>402</v>
      </c>
      <c r="B395" s="6" t="s">
        <v>1006</v>
      </c>
      <c r="C395" s="6" t="s">
        <v>720</v>
      </c>
      <c r="D395" s="6">
        <v>-0.9</v>
      </c>
      <c r="E395" s="6" t="s">
        <v>10</v>
      </c>
      <c r="F395" s="6">
        <v>-0.9</v>
      </c>
      <c r="G395" s="6"/>
    </row>
    <row r="396" spans="1:7" ht="14.25" customHeight="1" x14ac:dyDescent="0.3">
      <c r="A396" s="6">
        <v>403</v>
      </c>
      <c r="B396" s="6" t="s">
        <v>1007</v>
      </c>
      <c r="C396" s="6" t="s">
        <v>720</v>
      </c>
      <c r="D396" s="6">
        <v>8.0000000000000002E-3</v>
      </c>
      <c r="E396" s="6" t="s">
        <v>10</v>
      </c>
      <c r="F396" s="6">
        <v>8.0000000000000002E-3</v>
      </c>
      <c r="G396" s="6"/>
    </row>
    <row r="397" spans="1:7" ht="14.25" customHeight="1" x14ac:dyDescent="0.3">
      <c r="A397" s="6">
        <v>404</v>
      </c>
      <c r="B397" s="6" t="s">
        <v>1008</v>
      </c>
      <c r="C397" s="6" t="s">
        <v>720</v>
      </c>
      <c r="D397" s="6">
        <v>-18.75</v>
      </c>
      <c r="E397" s="6" t="s">
        <v>10</v>
      </c>
      <c r="F397" s="6">
        <v>-18.75</v>
      </c>
      <c r="G397" s="6"/>
    </row>
    <row r="398" spans="1:7" ht="14.25" customHeight="1" x14ac:dyDescent="0.3">
      <c r="A398" s="6">
        <v>405</v>
      </c>
      <c r="B398" s="6" t="s">
        <v>1009</v>
      </c>
      <c r="C398" s="6" t="s">
        <v>720</v>
      </c>
      <c r="D398" s="6" t="s">
        <v>1010</v>
      </c>
      <c r="E398" s="6" t="s">
        <v>10</v>
      </c>
      <c r="F398" s="6">
        <v>13</v>
      </c>
      <c r="G398" s="6"/>
    </row>
    <row r="399" spans="1:7" ht="14.25" customHeight="1" x14ac:dyDescent="0.3">
      <c r="A399" s="6">
        <v>406</v>
      </c>
      <c r="B399" s="6" t="s">
        <v>1011</v>
      </c>
      <c r="C399" s="6" t="s">
        <v>720</v>
      </c>
      <c r="D399" s="6" t="s">
        <v>1012</v>
      </c>
      <c r="E399" s="6" t="s">
        <v>10</v>
      </c>
      <c r="F399" s="6">
        <v>-5</v>
      </c>
      <c r="G399" s="6"/>
    </row>
    <row r="400" spans="1:7" ht="14.25" customHeight="1" x14ac:dyDescent="0.3">
      <c r="A400" s="6">
        <v>407</v>
      </c>
      <c r="B400" s="6" t="s">
        <v>1013</v>
      </c>
      <c r="C400" s="6" t="s">
        <v>720</v>
      </c>
      <c r="D400" s="6" t="s">
        <v>1014</v>
      </c>
      <c r="E400" s="6" t="s">
        <v>10</v>
      </c>
      <c r="F400" s="6">
        <v>-13</v>
      </c>
      <c r="G400" s="6"/>
    </row>
    <row r="401" spans="1:7" ht="14.25" customHeight="1" x14ac:dyDescent="0.3">
      <c r="A401" s="6">
        <v>408</v>
      </c>
      <c r="B401" s="6" t="s">
        <v>1015</v>
      </c>
      <c r="C401" s="6" t="s">
        <v>720</v>
      </c>
      <c r="D401" s="6">
        <v>3.5</v>
      </c>
      <c r="E401" s="6" t="s">
        <v>10</v>
      </c>
      <c r="F401" s="6">
        <v>3.5</v>
      </c>
      <c r="G401" s="6"/>
    </row>
    <row r="402" spans="1:7" ht="14.25" customHeight="1" x14ac:dyDescent="0.3">
      <c r="A402" s="6">
        <v>409</v>
      </c>
      <c r="B402" s="6" t="s">
        <v>1016</v>
      </c>
      <c r="C402" s="6" t="s">
        <v>720</v>
      </c>
      <c r="D402" s="6">
        <v>1</v>
      </c>
      <c r="E402" s="6" t="s">
        <v>10</v>
      </c>
      <c r="F402" s="6">
        <v>1</v>
      </c>
      <c r="G402" s="6"/>
    </row>
    <row r="403" spans="1:7" ht="14.25" customHeight="1" x14ac:dyDescent="0.3">
      <c r="A403" s="6">
        <v>410</v>
      </c>
      <c r="B403" s="6" t="s">
        <v>1017</v>
      </c>
      <c r="C403" s="6" t="s">
        <v>720</v>
      </c>
      <c r="D403" s="6">
        <v>-27</v>
      </c>
      <c r="E403" s="6" t="s">
        <v>10</v>
      </c>
      <c r="F403" s="6">
        <v>-27</v>
      </c>
      <c r="G403" s="6"/>
    </row>
    <row r="404" spans="1:7" ht="14.25" customHeight="1" x14ac:dyDescent="0.3">
      <c r="A404" s="6">
        <v>411</v>
      </c>
      <c r="B404" s="6" t="s">
        <v>1018</v>
      </c>
      <c r="C404" s="6" t="s">
        <v>720</v>
      </c>
      <c r="D404" s="6">
        <v>6.3</v>
      </c>
      <c r="E404" s="6" t="s">
        <v>10</v>
      </c>
      <c r="F404" s="6">
        <v>6.3</v>
      </c>
      <c r="G404" s="6"/>
    </row>
    <row r="405" spans="1:7" ht="14.25" customHeight="1" x14ac:dyDescent="0.3">
      <c r="A405" s="6">
        <v>412</v>
      </c>
      <c r="B405" s="6" t="s">
        <v>1019</v>
      </c>
      <c r="C405" s="6" t="s">
        <v>720</v>
      </c>
      <c r="D405" s="6">
        <v>-810</v>
      </c>
      <c r="E405" s="6" t="s">
        <v>10</v>
      </c>
      <c r="F405" s="6">
        <v>-810</v>
      </c>
      <c r="G405" s="6"/>
    </row>
    <row r="406" spans="1:7" ht="14.25" customHeight="1" x14ac:dyDescent="0.3">
      <c r="A406" s="6">
        <v>413</v>
      </c>
      <c r="B406" s="6" t="s">
        <v>1020</v>
      </c>
      <c r="C406" s="6" t="s">
        <v>720</v>
      </c>
      <c r="D406" s="6">
        <v>-900</v>
      </c>
      <c r="E406" s="6" t="s">
        <v>10</v>
      </c>
      <c r="F406" s="6">
        <v>-900</v>
      </c>
      <c r="G406" s="6"/>
    </row>
    <row r="407" spans="1:7" ht="14.25" customHeight="1" x14ac:dyDescent="0.3">
      <c r="A407" s="6">
        <v>414</v>
      </c>
      <c r="B407" s="6" t="s">
        <v>1021</v>
      </c>
      <c r="C407" s="6" t="s">
        <v>720</v>
      </c>
      <c r="D407" s="6">
        <v>25300</v>
      </c>
      <c r="E407" s="6" t="s">
        <v>10</v>
      </c>
      <c r="F407" s="6">
        <v>25300</v>
      </c>
      <c r="G407" s="6"/>
    </row>
    <row r="408" spans="1:7" ht="14.25" customHeight="1" x14ac:dyDescent="0.3">
      <c r="A408" s="6">
        <v>415</v>
      </c>
      <c r="B408" s="6" t="s">
        <v>1022</v>
      </c>
      <c r="C408" s="6" t="s">
        <v>720</v>
      </c>
      <c r="D408" s="6">
        <v>6820</v>
      </c>
      <c r="E408" s="6" t="s">
        <v>10</v>
      </c>
      <c r="F408" s="6">
        <v>6820</v>
      </c>
      <c r="G408" s="6"/>
    </row>
    <row r="409" spans="1:7" ht="14.25" customHeight="1" x14ac:dyDescent="0.3">
      <c r="A409" s="6">
        <v>416</v>
      </c>
      <c r="B409" s="6" t="s">
        <v>1023</v>
      </c>
      <c r="C409" s="6" t="s">
        <v>720</v>
      </c>
      <c r="D409" s="6">
        <v>45599</v>
      </c>
      <c r="E409" s="6" t="s">
        <v>10</v>
      </c>
      <c r="F409" s="6" t="s">
        <v>1368</v>
      </c>
      <c r="G409" s="6"/>
    </row>
    <row r="410" spans="1:7" ht="14.25" customHeight="1" x14ac:dyDescent="0.3">
      <c r="A410" s="6">
        <v>417</v>
      </c>
      <c r="B410" s="6" t="s">
        <v>1024</v>
      </c>
      <c r="C410" s="6" t="s">
        <v>720</v>
      </c>
      <c r="D410" s="6">
        <f>-5/17</f>
        <v>-0.29411764705882354</v>
      </c>
      <c r="E410" s="6" t="s">
        <v>10</v>
      </c>
      <c r="F410" s="6">
        <f>-5/17</f>
        <v>-0.29411764705882354</v>
      </c>
      <c r="G410" s="6"/>
    </row>
    <row r="411" spans="1:7" ht="14.25" customHeight="1" x14ac:dyDescent="0.3">
      <c r="A411" s="6">
        <v>418</v>
      </c>
      <c r="B411" s="6" t="s">
        <v>1025</v>
      </c>
      <c r="C411" s="6" t="s">
        <v>720</v>
      </c>
      <c r="D411" s="6">
        <v>21</v>
      </c>
      <c r="E411" s="6" t="s">
        <v>10</v>
      </c>
      <c r="F411" s="6">
        <v>21</v>
      </c>
      <c r="G411" s="6"/>
    </row>
    <row r="412" spans="1:7" ht="14.25" customHeight="1" x14ac:dyDescent="0.3">
      <c r="A412" s="6">
        <v>419</v>
      </c>
      <c r="B412" s="6" t="s">
        <v>1026</v>
      </c>
      <c r="C412" s="6" t="s">
        <v>720</v>
      </c>
      <c r="D412" s="6">
        <v>4</v>
      </c>
      <c r="E412" s="6" t="s">
        <v>10</v>
      </c>
      <c r="F412" s="6">
        <v>4</v>
      </c>
      <c r="G412" s="6"/>
    </row>
    <row r="413" spans="1:7" ht="14.25" customHeight="1" x14ac:dyDescent="0.3">
      <c r="A413" s="6">
        <v>420</v>
      </c>
      <c r="B413" s="6" t="s">
        <v>1027</v>
      </c>
      <c r="C413" s="6" t="s">
        <v>720</v>
      </c>
      <c r="D413" s="6">
        <v>-28</v>
      </c>
      <c r="E413" s="6" t="s">
        <v>10</v>
      </c>
      <c r="F413" s="6">
        <v>-28</v>
      </c>
      <c r="G413" s="6"/>
    </row>
    <row r="414" spans="1:7" ht="14.25" customHeight="1" x14ac:dyDescent="0.3">
      <c r="A414" s="6">
        <v>421</v>
      </c>
      <c r="B414" s="6" t="s">
        <v>1028</v>
      </c>
      <c r="C414" s="6" t="s">
        <v>720</v>
      </c>
      <c r="D414" s="6">
        <v>45598</v>
      </c>
      <c r="E414" s="6" t="s">
        <v>10</v>
      </c>
      <c r="F414" s="6" t="s">
        <v>1367</v>
      </c>
      <c r="G414" s="6"/>
    </row>
    <row r="415" spans="1:7" ht="14.25" customHeight="1" x14ac:dyDescent="0.3">
      <c r="A415" s="6">
        <v>422</v>
      </c>
      <c r="B415" s="6" t="s">
        <v>1029</v>
      </c>
      <c r="C415" s="6" t="s">
        <v>720</v>
      </c>
      <c r="D415" s="6">
        <v>2.8</v>
      </c>
      <c r="E415" s="6" t="s">
        <v>10</v>
      </c>
      <c r="F415" s="6">
        <v>2.8</v>
      </c>
      <c r="G415" s="6"/>
    </row>
    <row r="416" spans="1:7" ht="14.25" customHeight="1" x14ac:dyDescent="0.3">
      <c r="A416" s="6">
        <v>423</v>
      </c>
      <c r="B416" s="6" t="s">
        <v>1030</v>
      </c>
      <c r="C416" s="6" t="s">
        <v>720</v>
      </c>
      <c r="D416" s="6">
        <v>-8</v>
      </c>
      <c r="E416" s="6" t="s">
        <v>10</v>
      </c>
      <c r="F416" s="6">
        <v>-8</v>
      </c>
      <c r="G416" s="6"/>
    </row>
    <row r="417" spans="1:7" ht="14.25" customHeight="1" x14ac:dyDescent="0.3">
      <c r="A417" s="6">
        <v>424</v>
      </c>
      <c r="B417" s="6" t="s">
        <v>1031</v>
      </c>
      <c r="C417" s="6" t="s">
        <v>720</v>
      </c>
      <c r="D417" s="6">
        <v>-2.44</v>
      </c>
      <c r="E417" s="6" t="s">
        <v>10</v>
      </c>
      <c r="F417" s="6">
        <v>-2.44</v>
      </c>
      <c r="G417" s="6"/>
    </row>
    <row r="418" spans="1:7" ht="14.25" customHeight="1" x14ac:dyDescent="0.3">
      <c r="A418" s="6">
        <v>425</v>
      </c>
      <c r="B418" s="6" t="s">
        <v>1032</v>
      </c>
      <c r="C418" s="6" t="s">
        <v>720</v>
      </c>
      <c r="D418" s="6">
        <v>-121</v>
      </c>
      <c r="E418" s="6" t="s">
        <v>10</v>
      </c>
      <c r="F418" s="10">
        <v>-121</v>
      </c>
      <c r="G418" s="6"/>
    </row>
    <row r="419" spans="1:7" ht="14.25" customHeight="1" x14ac:dyDescent="0.3">
      <c r="A419" s="6">
        <v>426</v>
      </c>
      <c r="B419" s="6" t="s">
        <v>1033</v>
      </c>
      <c r="C419" s="6" t="s">
        <v>720</v>
      </c>
      <c r="D419" s="6">
        <v>144</v>
      </c>
      <c r="E419" s="6" t="s">
        <v>10</v>
      </c>
      <c r="F419" s="6">
        <v>144</v>
      </c>
      <c r="G419" s="6"/>
    </row>
    <row r="420" spans="1:7" ht="14.25" customHeight="1" x14ac:dyDescent="0.3">
      <c r="A420" s="6">
        <v>427</v>
      </c>
      <c r="B420" s="6" t="s">
        <v>1355</v>
      </c>
      <c r="C420" s="6" t="s">
        <v>720</v>
      </c>
      <c r="D420" s="6">
        <v>16</v>
      </c>
      <c r="E420" s="6" t="s">
        <v>10</v>
      </c>
      <c r="F420" s="6">
        <v>16</v>
      </c>
      <c r="G420" s="6"/>
    </row>
    <row r="421" spans="1:7" ht="14.25" customHeight="1" x14ac:dyDescent="0.3">
      <c r="A421" s="6">
        <v>428</v>
      </c>
      <c r="B421" s="6" t="s">
        <v>1034</v>
      </c>
      <c r="C421" s="6" t="s">
        <v>720</v>
      </c>
      <c r="D421" s="6">
        <v>-125</v>
      </c>
      <c r="E421" s="6" t="s">
        <v>10</v>
      </c>
      <c r="F421" s="6">
        <v>-125</v>
      </c>
      <c r="G421" s="6"/>
    </row>
    <row r="422" spans="1:7" ht="14.25" customHeight="1" x14ac:dyDescent="0.3">
      <c r="A422" s="6">
        <v>429</v>
      </c>
      <c r="B422" s="6" t="s">
        <v>1035</v>
      </c>
      <c r="C422" s="6" t="s">
        <v>720</v>
      </c>
      <c r="D422" s="6">
        <v>4.0000000000000001E-3</v>
      </c>
      <c r="E422" s="6" t="s">
        <v>10</v>
      </c>
      <c r="F422" s="6">
        <v>4.0000000000000001E-3</v>
      </c>
      <c r="G422" s="6"/>
    </row>
    <row r="423" spans="1:7" ht="14.25" customHeight="1" x14ac:dyDescent="0.3">
      <c r="A423" s="6">
        <v>430</v>
      </c>
      <c r="B423" s="6" t="s">
        <v>1036</v>
      </c>
      <c r="C423" s="6" t="s">
        <v>720</v>
      </c>
      <c r="D423" s="6">
        <v>570</v>
      </c>
      <c r="E423" s="6" t="s">
        <v>10</v>
      </c>
      <c r="F423" s="6">
        <v>570</v>
      </c>
      <c r="G423" s="6"/>
    </row>
    <row r="424" spans="1:7" ht="14.25" customHeight="1" x14ac:dyDescent="0.3">
      <c r="A424" s="6">
        <v>431</v>
      </c>
      <c r="B424" s="6" t="s">
        <v>1356</v>
      </c>
      <c r="C424" s="6" t="s">
        <v>720</v>
      </c>
      <c r="D424" s="6" t="s">
        <v>1037</v>
      </c>
      <c r="E424" s="6" t="s">
        <v>10</v>
      </c>
      <c r="F424" s="6" t="s">
        <v>1038</v>
      </c>
      <c r="G424" s="6"/>
    </row>
    <row r="425" spans="1:7" ht="14.25" customHeight="1" x14ac:dyDescent="0.3">
      <c r="A425" s="6">
        <v>432</v>
      </c>
      <c r="B425" s="6" t="s">
        <v>1357</v>
      </c>
      <c r="C425" s="6" t="s">
        <v>720</v>
      </c>
      <c r="D425" s="6" t="s">
        <v>1039</v>
      </c>
      <c r="E425" s="6" t="s">
        <v>10</v>
      </c>
      <c r="F425" s="6" t="s">
        <v>1039</v>
      </c>
      <c r="G425" s="6"/>
    </row>
    <row r="426" spans="1:7" ht="14.25" customHeight="1" x14ac:dyDescent="0.3">
      <c r="A426" s="6">
        <v>433</v>
      </c>
      <c r="B426" s="6" t="s">
        <v>1040</v>
      </c>
      <c r="C426" s="6" t="s">
        <v>720</v>
      </c>
      <c r="D426" s="6" t="s">
        <v>1041</v>
      </c>
      <c r="E426" s="6" t="s">
        <v>10</v>
      </c>
      <c r="F426" s="6" t="s">
        <v>1042</v>
      </c>
      <c r="G426" s="6"/>
    </row>
    <row r="427" spans="1:7" ht="14.25" customHeight="1" x14ac:dyDescent="0.3">
      <c r="A427" s="6">
        <v>434</v>
      </c>
      <c r="B427" s="6" t="s">
        <v>1043</v>
      </c>
      <c r="C427" s="6" t="s">
        <v>720</v>
      </c>
      <c r="D427" s="6" t="s">
        <v>1044</v>
      </c>
      <c r="E427" s="6" t="s">
        <v>10</v>
      </c>
      <c r="F427" s="6" t="s">
        <v>1045</v>
      </c>
      <c r="G427" s="6"/>
    </row>
    <row r="428" spans="1:7" ht="14.25" customHeight="1" x14ac:dyDescent="0.3">
      <c r="A428" s="6">
        <v>435</v>
      </c>
      <c r="B428" s="6" t="s">
        <v>1046</v>
      </c>
      <c r="C428" s="6" t="s">
        <v>720</v>
      </c>
      <c r="D428" s="6" t="s">
        <v>1047</v>
      </c>
      <c r="E428" s="6" t="s">
        <v>10</v>
      </c>
      <c r="F428" s="6" t="s">
        <v>1048</v>
      </c>
      <c r="G428" s="6"/>
    </row>
    <row r="429" spans="1:7" ht="14.25" customHeight="1" x14ac:dyDescent="0.3">
      <c r="A429" s="6">
        <v>436</v>
      </c>
      <c r="B429" s="6" t="s">
        <v>1049</v>
      </c>
      <c r="C429" s="6" t="s">
        <v>720</v>
      </c>
      <c r="D429" s="6" t="s">
        <v>1050</v>
      </c>
      <c r="E429" s="6" t="s">
        <v>10</v>
      </c>
      <c r="F429" s="6" t="s">
        <v>1051</v>
      </c>
      <c r="G429" s="6"/>
    </row>
    <row r="430" spans="1:7" ht="14.25" customHeight="1" x14ac:dyDescent="0.3">
      <c r="A430" s="6">
        <v>437</v>
      </c>
      <c r="B430" s="6" t="s">
        <v>1052</v>
      </c>
      <c r="C430" s="6" t="s">
        <v>720</v>
      </c>
      <c r="D430" s="6" t="s">
        <v>1053</v>
      </c>
      <c r="E430" s="6" t="s">
        <v>10</v>
      </c>
      <c r="F430" s="6" t="s">
        <v>1054</v>
      </c>
      <c r="G430" s="6"/>
    </row>
    <row r="431" spans="1:7" ht="14.25" customHeight="1" x14ac:dyDescent="0.3">
      <c r="A431" s="6">
        <v>438</v>
      </c>
      <c r="B431" s="6" t="s">
        <v>1055</v>
      </c>
      <c r="C431" s="6" t="s">
        <v>720</v>
      </c>
      <c r="D431" s="6" t="s">
        <v>1056</v>
      </c>
      <c r="E431" s="6" t="s">
        <v>10</v>
      </c>
      <c r="F431" s="6" t="s">
        <v>1057</v>
      </c>
      <c r="G431" s="6"/>
    </row>
    <row r="432" spans="1:7" ht="14.25" customHeight="1" x14ac:dyDescent="0.3">
      <c r="A432" s="6">
        <v>439</v>
      </c>
      <c r="B432" s="6" t="s">
        <v>1058</v>
      </c>
      <c r="C432" s="6" t="s">
        <v>720</v>
      </c>
      <c r="D432" s="6" t="s">
        <v>1059</v>
      </c>
      <c r="E432" s="6" t="s">
        <v>10</v>
      </c>
      <c r="F432" s="6" t="s">
        <v>1060</v>
      </c>
      <c r="G432" s="6"/>
    </row>
    <row r="433" spans="1:7" ht="14.25" customHeight="1" x14ac:dyDescent="0.3">
      <c r="A433" s="6">
        <v>440</v>
      </c>
      <c r="B433" s="6" t="s">
        <v>1061</v>
      </c>
      <c r="C433" s="6" t="s">
        <v>720</v>
      </c>
      <c r="D433" s="6" t="s">
        <v>1062</v>
      </c>
      <c r="E433" s="6" t="s">
        <v>10</v>
      </c>
      <c r="F433" s="6" t="s">
        <v>1063</v>
      </c>
      <c r="G433" s="6"/>
    </row>
    <row r="434" spans="1:7" ht="14.25" customHeight="1" x14ac:dyDescent="0.3">
      <c r="A434" s="6">
        <v>441</v>
      </c>
      <c r="B434" s="6" t="s">
        <v>1064</v>
      </c>
      <c r="C434" s="6" t="s">
        <v>589</v>
      </c>
      <c r="D434" s="6" t="s">
        <v>1065</v>
      </c>
      <c r="E434" s="6" t="s">
        <v>591</v>
      </c>
      <c r="F434" s="6" t="s">
        <v>1066</v>
      </c>
      <c r="G434" s="6"/>
    </row>
    <row r="435" spans="1:7" ht="14.25" customHeight="1" x14ac:dyDescent="0.3">
      <c r="A435" s="6">
        <v>442</v>
      </c>
      <c r="B435" s="6" t="s">
        <v>1067</v>
      </c>
      <c r="C435" s="6" t="s">
        <v>589</v>
      </c>
      <c r="D435" s="6" t="s">
        <v>1068</v>
      </c>
      <c r="E435" s="6" t="s">
        <v>591</v>
      </c>
      <c r="F435" s="6" t="s">
        <v>1069</v>
      </c>
      <c r="G435" s="6"/>
    </row>
    <row r="436" spans="1:7" ht="14.25" customHeight="1" x14ac:dyDescent="0.3">
      <c r="A436" s="6">
        <v>443</v>
      </c>
      <c r="B436" s="6" t="s">
        <v>1070</v>
      </c>
      <c r="C436" s="6" t="s">
        <v>589</v>
      </c>
      <c r="D436" s="6" t="s">
        <v>1071</v>
      </c>
      <c r="E436" s="6" t="s">
        <v>591</v>
      </c>
      <c r="F436" s="6" t="s">
        <v>1072</v>
      </c>
      <c r="G436" s="6"/>
    </row>
    <row r="437" spans="1:7" ht="14.25" customHeight="1" x14ac:dyDescent="0.3">
      <c r="A437" s="6">
        <v>444</v>
      </c>
      <c r="B437" s="6" t="s">
        <v>1073</v>
      </c>
      <c r="C437" s="6" t="s">
        <v>589</v>
      </c>
      <c r="D437" s="6" t="s">
        <v>1074</v>
      </c>
      <c r="E437" s="6" t="s">
        <v>591</v>
      </c>
      <c r="F437" s="6" t="s">
        <v>1075</v>
      </c>
      <c r="G437" s="6"/>
    </row>
    <row r="438" spans="1:7" ht="14.25" customHeight="1" x14ac:dyDescent="0.3">
      <c r="A438" s="6">
        <v>445</v>
      </c>
      <c r="B438" s="6" t="s">
        <v>1076</v>
      </c>
      <c r="C438" s="6" t="s">
        <v>589</v>
      </c>
      <c r="D438" s="6" t="s">
        <v>1077</v>
      </c>
      <c r="E438" s="6" t="s">
        <v>591</v>
      </c>
      <c r="F438" s="6" t="s">
        <v>1078</v>
      </c>
      <c r="G438" s="6"/>
    </row>
    <row r="439" spans="1:7" ht="14.25" customHeight="1" x14ac:dyDescent="0.3">
      <c r="A439" s="6">
        <v>446</v>
      </c>
      <c r="B439" s="6" t="s">
        <v>1079</v>
      </c>
      <c r="C439" s="6" t="s">
        <v>589</v>
      </c>
      <c r="D439" s="6" t="s">
        <v>1080</v>
      </c>
      <c r="E439" s="6" t="s">
        <v>591</v>
      </c>
      <c r="F439" s="6" t="s">
        <v>1081</v>
      </c>
      <c r="G439" s="6"/>
    </row>
    <row r="440" spans="1:7" ht="14.25" customHeight="1" x14ac:dyDescent="0.3">
      <c r="A440" s="6">
        <v>447</v>
      </c>
      <c r="B440" s="6" t="s">
        <v>1082</v>
      </c>
      <c r="C440" s="6" t="s">
        <v>589</v>
      </c>
      <c r="D440" s="6" t="s">
        <v>1083</v>
      </c>
      <c r="E440" s="6" t="s">
        <v>63</v>
      </c>
      <c r="F440" s="6" t="s">
        <v>1084</v>
      </c>
      <c r="G440" s="6"/>
    </row>
    <row r="441" spans="1:7" ht="14.25" customHeight="1" x14ac:dyDescent="0.3">
      <c r="A441" s="6">
        <v>448</v>
      </c>
      <c r="B441" s="6" t="s">
        <v>1085</v>
      </c>
      <c r="C441" s="6" t="s">
        <v>589</v>
      </c>
      <c r="D441" s="6" t="s">
        <v>1086</v>
      </c>
      <c r="E441" s="6" t="s">
        <v>63</v>
      </c>
      <c r="F441" s="6" t="s">
        <v>1087</v>
      </c>
      <c r="G441" s="6"/>
    </row>
    <row r="442" spans="1:7" ht="14.25" customHeight="1" x14ac:dyDescent="0.3">
      <c r="A442" s="6">
        <v>449</v>
      </c>
      <c r="B442" s="6" t="s">
        <v>1088</v>
      </c>
      <c r="C442" s="6" t="s">
        <v>589</v>
      </c>
      <c r="D442" s="6" t="s">
        <v>1089</v>
      </c>
      <c r="E442" s="6" t="s">
        <v>63</v>
      </c>
      <c r="F442" s="6" t="s">
        <v>1090</v>
      </c>
      <c r="G442" s="6"/>
    </row>
    <row r="443" spans="1:7" ht="14.25" customHeight="1" x14ac:dyDescent="0.3">
      <c r="A443" s="6">
        <v>450</v>
      </c>
      <c r="B443" s="6" t="s">
        <v>1091</v>
      </c>
      <c r="C443" s="6" t="s">
        <v>589</v>
      </c>
      <c r="D443" s="6" t="s">
        <v>1092</v>
      </c>
      <c r="E443" s="6" t="s">
        <v>63</v>
      </c>
      <c r="F443" s="6" t="s">
        <v>1093</v>
      </c>
      <c r="G443" s="6"/>
    </row>
    <row r="444" spans="1:7" ht="14.25" customHeight="1" x14ac:dyDescent="0.3">
      <c r="A444" s="6">
        <v>451</v>
      </c>
      <c r="B444" s="6" t="s">
        <v>1094</v>
      </c>
      <c r="C444" s="6" t="s">
        <v>589</v>
      </c>
      <c r="D444" s="6" t="s">
        <v>1095</v>
      </c>
      <c r="E444" s="6" t="s">
        <v>63</v>
      </c>
      <c r="F444" s="6" t="s">
        <v>1096</v>
      </c>
      <c r="G444" s="6"/>
    </row>
    <row r="445" spans="1:7" ht="14.25" customHeight="1" x14ac:dyDescent="0.3">
      <c r="A445" s="6">
        <v>452</v>
      </c>
      <c r="B445" s="6" t="s">
        <v>1097</v>
      </c>
      <c r="C445" s="6" t="s">
        <v>589</v>
      </c>
      <c r="D445" s="6" t="s">
        <v>1098</v>
      </c>
      <c r="E445" s="6" t="s">
        <v>63</v>
      </c>
      <c r="F445" s="6" t="s">
        <v>1099</v>
      </c>
      <c r="G445" s="6"/>
    </row>
    <row r="446" spans="1:7" ht="14.25" customHeight="1" x14ac:dyDescent="0.3">
      <c r="A446" s="6">
        <v>453</v>
      </c>
      <c r="B446" s="6" t="s">
        <v>1100</v>
      </c>
      <c r="C446" s="6" t="s">
        <v>589</v>
      </c>
      <c r="D446" s="6" t="s">
        <v>1101</v>
      </c>
      <c r="E446" s="6" t="s">
        <v>63</v>
      </c>
      <c r="F446" s="6" t="s">
        <v>1102</v>
      </c>
      <c r="G446" s="6"/>
    </row>
    <row r="447" spans="1:7" ht="14.25" customHeight="1" x14ac:dyDescent="0.3">
      <c r="A447" s="6">
        <v>454</v>
      </c>
      <c r="B447" s="6" t="s">
        <v>1103</v>
      </c>
      <c r="C447" s="6" t="s">
        <v>589</v>
      </c>
      <c r="D447" s="6" t="s">
        <v>1104</v>
      </c>
      <c r="E447" s="6" t="s">
        <v>63</v>
      </c>
      <c r="F447" s="6" t="s">
        <v>1105</v>
      </c>
      <c r="G447" s="6"/>
    </row>
    <row r="448" spans="1:7" ht="14.25" customHeight="1" x14ac:dyDescent="0.3">
      <c r="A448" s="6">
        <v>455</v>
      </c>
      <c r="B448" s="6" t="s">
        <v>1106</v>
      </c>
      <c r="C448" s="6" t="s">
        <v>589</v>
      </c>
      <c r="D448" s="6" t="s">
        <v>1107</v>
      </c>
      <c r="E448" s="6" t="s">
        <v>63</v>
      </c>
      <c r="F448" s="6" t="s">
        <v>1108</v>
      </c>
      <c r="G448" s="6"/>
    </row>
    <row r="449" spans="1:7" ht="14.25" customHeight="1" x14ac:dyDescent="0.3">
      <c r="A449" s="6">
        <v>456</v>
      </c>
      <c r="B449" s="6" t="s">
        <v>1109</v>
      </c>
      <c r="C449" s="6" t="s">
        <v>589</v>
      </c>
      <c r="D449" s="6" t="s">
        <v>1110</v>
      </c>
      <c r="E449" s="6" t="s">
        <v>63</v>
      </c>
      <c r="F449" s="6" t="s">
        <v>1111</v>
      </c>
      <c r="G449" s="6"/>
    </row>
    <row r="450" spans="1:7" ht="14.25" customHeight="1" x14ac:dyDescent="0.3">
      <c r="A450" s="6">
        <v>457</v>
      </c>
      <c r="B450" s="6" t="s">
        <v>1112</v>
      </c>
      <c r="C450" s="6" t="s">
        <v>589</v>
      </c>
      <c r="D450" s="6">
        <v>18</v>
      </c>
      <c r="E450" s="6" t="s">
        <v>10</v>
      </c>
      <c r="F450" s="6">
        <v>18</v>
      </c>
      <c r="G450" s="6"/>
    </row>
    <row r="451" spans="1:7" ht="14.25" customHeight="1" x14ac:dyDescent="0.3">
      <c r="A451" s="6">
        <v>458</v>
      </c>
      <c r="B451" s="6" t="s">
        <v>1113</v>
      </c>
      <c r="C451" s="6" t="s">
        <v>589</v>
      </c>
      <c r="D451" s="6">
        <v>40</v>
      </c>
      <c r="E451" s="6" t="s">
        <v>10</v>
      </c>
      <c r="F451" s="6">
        <v>40</v>
      </c>
      <c r="G451" s="6"/>
    </row>
    <row r="452" spans="1:7" ht="14.25" customHeight="1" x14ac:dyDescent="0.3">
      <c r="A452" s="6">
        <v>459</v>
      </c>
      <c r="B452" s="6" t="s">
        <v>1114</v>
      </c>
      <c r="C452" s="6" t="s">
        <v>589</v>
      </c>
      <c r="D452" s="6">
        <v>18</v>
      </c>
      <c r="E452" s="6" t="s">
        <v>10</v>
      </c>
      <c r="F452" s="6">
        <v>18</v>
      </c>
      <c r="G452" s="6"/>
    </row>
    <row r="453" spans="1:7" ht="14.25" customHeight="1" x14ac:dyDescent="0.3">
      <c r="A453" s="6">
        <v>460</v>
      </c>
      <c r="B453" s="6" t="s">
        <v>1115</v>
      </c>
      <c r="C453" s="6" t="s">
        <v>589</v>
      </c>
      <c r="D453" s="6">
        <v>-12</v>
      </c>
      <c r="E453" s="6" t="s">
        <v>10</v>
      </c>
      <c r="F453" s="6">
        <v>-12</v>
      </c>
      <c r="G453" s="6"/>
    </row>
    <row r="454" spans="1:7" ht="14.25" customHeight="1" x14ac:dyDescent="0.3">
      <c r="A454" s="6">
        <v>461</v>
      </c>
      <c r="B454" s="6" t="s">
        <v>1116</v>
      </c>
      <c r="C454" s="6" t="s">
        <v>589</v>
      </c>
      <c r="D454" s="6" t="s">
        <v>1117</v>
      </c>
      <c r="E454" s="6" t="s">
        <v>1118</v>
      </c>
      <c r="F454" s="6" t="s">
        <v>1119</v>
      </c>
      <c r="G454" s="6"/>
    </row>
    <row r="455" spans="1:7" ht="14.25" customHeight="1" x14ac:dyDescent="0.3">
      <c r="A455" s="6">
        <v>462</v>
      </c>
      <c r="B455" s="6" t="s">
        <v>1120</v>
      </c>
      <c r="C455" s="6" t="s">
        <v>589</v>
      </c>
      <c r="D455" s="6" t="s">
        <v>1121</v>
      </c>
      <c r="E455" s="6" t="s">
        <v>1118</v>
      </c>
      <c r="F455" s="6" t="s">
        <v>1122</v>
      </c>
      <c r="G455" s="6"/>
    </row>
    <row r="456" spans="1:7" ht="14.25" customHeight="1" x14ac:dyDescent="0.3">
      <c r="A456" s="6">
        <v>463</v>
      </c>
      <c r="B456" s="6" t="s">
        <v>1123</v>
      </c>
      <c r="C456" s="6" t="s">
        <v>589</v>
      </c>
      <c r="D456" s="6" t="s">
        <v>1124</v>
      </c>
      <c r="E456" s="6" t="s">
        <v>1118</v>
      </c>
      <c r="F456" s="6" t="s">
        <v>1125</v>
      </c>
      <c r="G456" s="6"/>
    </row>
    <row r="457" spans="1:7" ht="14.25" customHeight="1" x14ac:dyDescent="0.3">
      <c r="A457" s="6">
        <v>464</v>
      </c>
      <c r="B457" s="6" t="s">
        <v>1126</v>
      </c>
      <c r="C457" s="6" t="s">
        <v>589</v>
      </c>
      <c r="D457" s="6" t="s">
        <v>1127</v>
      </c>
      <c r="E457" s="6" t="s">
        <v>1118</v>
      </c>
      <c r="F457" s="6" t="s">
        <v>1128</v>
      </c>
      <c r="G457" s="6"/>
    </row>
    <row r="458" spans="1:7" ht="14.25" customHeight="1" x14ac:dyDescent="0.3">
      <c r="A458" s="6">
        <v>465</v>
      </c>
      <c r="B458" s="6" t="s">
        <v>1129</v>
      </c>
      <c r="C458" s="6" t="s">
        <v>589</v>
      </c>
      <c r="D458" s="6" t="s">
        <v>1130</v>
      </c>
      <c r="E458" s="6" t="s">
        <v>1131</v>
      </c>
      <c r="F458" s="6" t="s">
        <v>110</v>
      </c>
      <c r="G458" s="6"/>
    </row>
    <row r="459" spans="1:7" ht="14.25" customHeight="1" x14ac:dyDescent="0.3">
      <c r="A459" s="6">
        <v>466</v>
      </c>
      <c r="B459" s="6" t="s">
        <v>1132</v>
      </c>
      <c r="C459" s="6" t="s">
        <v>589</v>
      </c>
      <c r="D459" s="6" t="s">
        <v>1133</v>
      </c>
      <c r="E459" s="6" t="s">
        <v>1131</v>
      </c>
      <c r="F459" s="6" t="s">
        <v>1134</v>
      </c>
      <c r="G459" s="6"/>
    </row>
    <row r="460" spans="1:7" ht="14.25" customHeight="1" x14ac:dyDescent="0.3">
      <c r="A460" s="6">
        <v>467</v>
      </c>
      <c r="B460" s="6" t="s">
        <v>1135</v>
      </c>
      <c r="C460" s="6" t="s">
        <v>589</v>
      </c>
      <c r="D460" s="6" t="s">
        <v>1136</v>
      </c>
      <c r="E460" s="6" t="s">
        <v>1131</v>
      </c>
      <c r="F460" s="6" t="s">
        <v>1137</v>
      </c>
      <c r="G460" s="6"/>
    </row>
    <row r="461" spans="1:7" ht="14.25" customHeight="1" x14ac:dyDescent="0.3">
      <c r="A461" s="6">
        <v>468</v>
      </c>
      <c r="B461" s="6" t="s">
        <v>1138</v>
      </c>
      <c r="C461" s="6" t="s">
        <v>589</v>
      </c>
      <c r="D461" s="6" t="s">
        <v>1139</v>
      </c>
      <c r="E461" s="6" t="s">
        <v>1131</v>
      </c>
      <c r="F461" s="6" t="s">
        <v>1140</v>
      </c>
      <c r="G461" s="6"/>
    </row>
    <row r="462" spans="1:7" ht="14.25" customHeight="1" x14ac:dyDescent="0.3">
      <c r="A462" s="6">
        <v>469</v>
      </c>
      <c r="B462" s="6" t="s">
        <v>1141</v>
      </c>
      <c r="C462" s="6" t="s">
        <v>589</v>
      </c>
      <c r="D462" s="6" t="s">
        <v>1130</v>
      </c>
      <c r="E462" s="6" t="s">
        <v>1131</v>
      </c>
      <c r="F462" s="6" t="s">
        <v>110</v>
      </c>
      <c r="G462" s="6"/>
    </row>
    <row r="463" spans="1:7" ht="14.25" customHeight="1" x14ac:dyDescent="0.3">
      <c r="A463" s="6">
        <v>470</v>
      </c>
      <c r="B463" s="6" t="s">
        <v>1142</v>
      </c>
      <c r="C463" s="6" t="s">
        <v>589</v>
      </c>
      <c r="D463" s="6" t="s">
        <v>1143</v>
      </c>
      <c r="E463" s="6" t="s">
        <v>1131</v>
      </c>
      <c r="F463" s="6" t="s">
        <v>1144</v>
      </c>
      <c r="G463" s="6"/>
    </row>
    <row r="464" spans="1:7" ht="14.25" customHeight="1" x14ac:dyDescent="0.3">
      <c r="A464" s="6">
        <v>471</v>
      </c>
      <c r="B464" s="6" t="s">
        <v>1145</v>
      </c>
      <c r="C464" s="6" t="s">
        <v>589</v>
      </c>
      <c r="D464" s="6" t="s">
        <v>1146</v>
      </c>
      <c r="E464" s="6" t="s">
        <v>1131</v>
      </c>
      <c r="F464" s="6" t="s">
        <v>1147</v>
      </c>
      <c r="G464" s="6"/>
    </row>
    <row r="465" spans="1:7" ht="14.25" customHeight="1" x14ac:dyDescent="0.3">
      <c r="A465" s="6">
        <v>472</v>
      </c>
      <c r="B465" s="6" t="s">
        <v>1148</v>
      </c>
      <c r="C465" s="6" t="s">
        <v>589</v>
      </c>
      <c r="D465" s="6" t="s">
        <v>1149</v>
      </c>
      <c r="E465" s="6" t="s">
        <v>1131</v>
      </c>
      <c r="F465" s="6" t="s">
        <v>1150</v>
      </c>
      <c r="G465" s="6"/>
    </row>
    <row r="466" spans="1:7" ht="14.25" customHeight="1" x14ac:dyDescent="0.3">
      <c r="A466" s="6">
        <v>473</v>
      </c>
      <c r="B466" s="6" t="s">
        <v>1151</v>
      </c>
      <c r="C466" s="6" t="s">
        <v>589</v>
      </c>
      <c r="D466" s="6" t="s">
        <v>1152</v>
      </c>
      <c r="E466" s="12" t="s">
        <v>1131</v>
      </c>
      <c r="F466" s="6" t="s">
        <v>1153</v>
      </c>
      <c r="G466" s="6"/>
    </row>
    <row r="467" spans="1:7" ht="14.25" customHeight="1" x14ac:dyDescent="0.3">
      <c r="A467" s="6">
        <v>474</v>
      </c>
      <c r="B467" s="6" t="s">
        <v>1154</v>
      </c>
      <c r="C467" s="6" t="s">
        <v>589</v>
      </c>
      <c r="D467" s="6" t="s">
        <v>1133</v>
      </c>
      <c r="E467" s="12" t="s">
        <v>1131</v>
      </c>
      <c r="F467" s="12" t="s">
        <v>1134</v>
      </c>
      <c r="G467" s="6"/>
    </row>
    <row r="468" spans="1:7" ht="14.25" customHeight="1" x14ac:dyDescent="0.3">
      <c r="A468" s="6">
        <v>475</v>
      </c>
      <c r="B468" s="6" t="s">
        <v>1155</v>
      </c>
      <c r="C468" s="6" t="s">
        <v>589</v>
      </c>
      <c r="D468" s="6" t="s">
        <v>1156</v>
      </c>
      <c r="E468" s="12" t="s">
        <v>1131</v>
      </c>
      <c r="F468" s="6" t="s">
        <v>1157</v>
      </c>
      <c r="G468" s="6"/>
    </row>
    <row r="469" spans="1:7" ht="14.25" customHeight="1" x14ac:dyDescent="0.3">
      <c r="A469" s="6">
        <v>476</v>
      </c>
      <c r="B469" s="6" t="s">
        <v>1158</v>
      </c>
      <c r="C469" s="6" t="s">
        <v>589</v>
      </c>
      <c r="D469" s="6" t="s">
        <v>1159</v>
      </c>
      <c r="E469" s="12" t="s">
        <v>1118</v>
      </c>
      <c r="F469" s="12" t="s">
        <v>1160</v>
      </c>
      <c r="G469" s="6"/>
    </row>
    <row r="470" spans="1:7" ht="14.25" customHeight="1" x14ac:dyDescent="0.3">
      <c r="A470" s="6">
        <v>477</v>
      </c>
      <c r="B470" s="6" t="s">
        <v>1161</v>
      </c>
      <c r="C470" s="6" t="s">
        <v>589</v>
      </c>
      <c r="D470" s="6" t="s">
        <v>1162</v>
      </c>
      <c r="E470" s="12" t="s">
        <v>1118</v>
      </c>
      <c r="F470" s="6" t="s">
        <v>1163</v>
      </c>
      <c r="G470" s="6"/>
    </row>
    <row r="471" spans="1:7" ht="14.25" customHeight="1" x14ac:dyDescent="0.3">
      <c r="A471" s="6">
        <v>478</v>
      </c>
      <c r="B471" s="6" t="s">
        <v>1164</v>
      </c>
      <c r="C471" s="6" t="s">
        <v>589</v>
      </c>
      <c r="D471" s="6" t="s">
        <v>1165</v>
      </c>
      <c r="E471" s="12" t="s">
        <v>1118</v>
      </c>
      <c r="F471" s="12" t="s">
        <v>1166</v>
      </c>
      <c r="G471" s="6"/>
    </row>
    <row r="472" spans="1:7" ht="14.25" customHeight="1" x14ac:dyDescent="0.3">
      <c r="A472" s="6">
        <v>479</v>
      </c>
      <c r="B472" s="6" t="s">
        <v>1167</v>
      </c>
      <c r="C472" s="6" t="s">
        <v>589</v>
      </c>
      <c r="D472" s="6" t="s">
        <v>1168</v>
      </c>
      <c r="E472" s="12" t="s">
        <v>1131</v>
      </c>
      <c r="F472" s="12" t="s">
        <v>1137</v>
      </c>
      <c r="G472" s="6"/>
    </row>
    <row r="473" spans="1:7" ht="14.25" customHeight="1" x14ac:dyDescent="0.3">
      <c r="A473" s="6">
        <v>480</v>
      </c>
      <c r="B473" s="6" t="s">
        <v>1169</v>
      </c>
      <c r="C473" s="6" t="s">
        <v>589</v>
      </c>
      <c r="D473" s="6" t="s">
        <v>1170</v>
      </c>
      <c r="E473" s="12" t="s">
        <v>1131</v>
      </c>
      <c r="F473" s="12" t="s">
        <v>1171</v>
      </c>
      <c r="G473" s="6"/>
    </row>
    <row r="474" spans="1:7" ht="14.25" customHeight="1" x14ac:dyDescent="0.3">
      <c r="A474" s="6">
        <v>481</v>
      </c>
      <c r="B474" s="6" t="s">
        <v>1172</v>
      </c>
      <c r="C474" s="6" t="s">
        <v>1173</v>
      </c>
      <c r="D474" s="6" t="s">
        <v>1174</v>
      </c>
      <c r="E474" s="12" t="s">
        <v>109</v>
      </c>
      <c r="F474" s="12" t="s">
        <v>163</v>
      </c>
      <c r="G474" s="6"/>
    </row>
    <row r="475" spans="1:7" ht="14.25" customHeight="1" x14ac:dyDescent="0.3">
      <c r="A475" s="6">
        <v>482</v>
      </c>
      <c r="B475" s="6" t="s">
        <v>1175</v>
      </c>
      <c r="C475" s="6" t="s">
        <v>1173</v>
      </c>
      <c r="D475" s="6" t="s">
        <v>1176</v>
      </c>
      <c r="E475" s="12" t="s">
        <v>109</v>
      </c>
      <c r="F475" s="12" t="s">
        <v>110</v>
      </c>
      <c r="G475" s="6"/>
    </row>
    <row r="476" spans="1:7" ht="14.25" customHeight="1" x14ac:dyDescent="0.3">
      <c r="A476" s="6">
        <v>483</v>
      </c>
      <c r="B476" s="6" t="s">
        <v>1177</v>
      </c>
      <c r="C476" s="6" t="s">
        <v>1173</v>
      </c>
      <c r="D476" s="6" t="s">
        <v>1178</v>
      </c>
      <c r="E476" s="12" t="s">
        <v>10</v>
      </c>
      <c r="F476" s="12">
        <v>71</v>
      </c>
      <c r="G476" s="6"/>
    </row>
    <row r="477" spans="1:7" ht="14.25" customHeight="1" x14ac:dyDescent="0.3">
      <c r="A477" s="6">
        <v>484</v>
      </c>
      <c r="B477" s="6" t="s">
        <v>1179</v>
      </c>
      <c r="C477" s="6" t="s">
        <v>1173</v>
      </c>
      <c r="D477" s="6" t="s">
        <v>1180</v>
      </c>
      <c r="E477" s="6" t="s">
        <v>10</v>
      </c>
      <c r="F477" s="6">
        <v>-26</v>
      </c>
      <c r="G477" s="6"/>
    </row>
    <row r="478" spans="1:7" ht="14.25" customHeight="1" x14ac:dyDescent="0.3">
      <c r="A478" s="6">
        <v>485</v>
      </c>
      <c r="B478" s="6" t="s">
        <v>1181</v>
      </c>
      <c r="C478" s="6" t="s">
        <v>1173</v>
      </c>
      <c r="D478" s="6" t="s">
        <v>1182</v>
      </c>
      <c r="E478" s="6" t="s">
        <v>10</v>
      </c>
      <c r="F478" s="6">
        <v>3</v>
      </c>
      <c r="G478" s="6"/>
    </row>
    <row r="479" spans="1:7" ht="14.25" customHeight="1" x14ac:dyDescent="0.3">
      <c r="A479" s="6">
        <v>486</v>
      </c>
      <c r="B479" s="6" t="s">
        <v>1183</v>
      </c>
      <c r="C479" s="6" t="s">
        <v>1173</v>
      </c>
      <c r="D479" s="6" t="s">
        <v>1184</v>
      </c>
      <c r="E479" s="6" t="s">
        <v>10</v>
      </c>
      <c r="F479" s="6">
        <v>8</v>
      </c>
      <c r="G479" s="6"/>
    </row>
    <row r="480" spans="1:7" ht="14.25" customHeight="1" x14ac:dyDescent="0.3">
      <c r="A480" s="6">
        <v>487</v>
      </c>
      <c r="B480" s="6" t="s">
        <v>1185</v>
      </c>
      <c r="C480" s="6" t="s">
        <v>1173</v>
      </c>
      <c r="D480" s="6" t="s">
        <v>1186</v>
      </c>
      <c r="E480" s="12" t="s">
        <v>10</v>
      </c>
      <c r="F480" s="12">
        <v>-2</v>
      </c>
      <c r="G480" s="6"/>
    </row>
    <row r="481" spans="1:7" ht="14.25" customHeight="1" x14ac:dyDescent="0.3">
      <c r="A481" s="6">
        <v>488</v>
      </c>
      <c r="B481" s="6" t="s">
        <v>1187</v>
      </c>
      <c r="C481" s="6" t="s">
        <v>1173</v>
      </c>
      <c r="D481" s="6" t="s">
        <v>1188</v>
      </c>
      <c r="E481" s="12" t="s">
        <v>10</v>
      </c>
      <c r="F481" s="12">
        <v>5.5</v>
      </c>
      <c r="G481" s="6"/>
    </row>
    <row r="482" spans="1:7" ht="14.25" customHeight="1" x14ac:dyDescent="0.3">
      <c r="A482" s="6">
        <v>489</v>
      </c>
      <c r="B482" s="6" t="s">
        <v>1189</v>
      </c>
      <c r="C482" s="6" t="s">
        <v>1173</v>
      </c>
      <c r="D482" s="6" t="s">
        <v>1190</v>
      </c>
      <c r="E482" s="6" t="s">
        <v>10</v>
      </c>
      <c r="F482" s="6">
        <v>5</v>
      </c>
      <c r="G482" s="6" t="s">
        <v>156</v>
      </c>
    </row>
    <row r="483" spans="1:7" ht="14.25" customHeight="1" x14ac:dyDescent="0.3">
      <c r="A483" s="6">
        <v>490</v>
      </c>
      <c r="B483" s="6" t="s">
        <v>1191</v>
      </c>
      <c r="C483" s="6" t="s">
        <v>1173</v>
      </c>
      <c r="D483" s="6" t="s">
        <v>1192</v>
      </c>
      <c r="E483" s="6" t="s">
        <v>10</v>
      </c>
      <c r="F483" s="6">
        <v>2</v>
      </c>
      <c r="G483" s="6" t="s">
        <v>156</v>
      </c>
    </row>
    <row r="484" spans="1:7" ht="14.25" customHeight="1" x14ac:dyDescent="0.3">
      <c r="A484" s="6">
        <v>491</v>
      </c>
      <c r="B484" s="6" t="s">
        <v>1193</v>
      </c>
      <c r="C484" s="6" t="s">
        <v>1173</v>
      </c>
      <c r="D484" s="6" t="s">
        <v>1194</v>
      </c>
      <c r="E484" s="6" t="s">
        <v>10</v>
      </c>
      <c r="F484" s="6">
        <v>1</v>
      </c>
      <c r="G484" s="6" t="s">
        <v>156</v>
      </c>
    </row>
    <row r="485" spans="1:7" ht="14.25" customHeight="1" x14ac:dyDescent="0.3">
      <c r="A485" s="6">
        <v>492</v>
      </c>
      <c r="B485" s="6" t="s">
        <v>1195</v>
      </c>
      <c r="C485" s="6" t="s">
        <v>1173</v>
      </c>
      <c r="D485" s="6" t="s">
        <v>1196</v>
      </c>
      <c r="E485" s="6" t="s">
        <v>10</v>
      </c>
      <c r="F485" s="6">
        <v>0</v>
      </c>
      <c r="G485" s="6" t="s">
        <v>156</v>
      </c>
    </row>
    <row r="486" spans="1:7" ht="14.25" customHeight="1" x14ac:dyDescent="0.3">
      <c r="A486" s="6">
        <v>493</v>
      </c>
      <c r="B486" s="6" t="s">
        <v>1197</v>
      </c>
      <c r="C486" s="6" t="s">
        <v>1173</v>
      </c>
      <c r="D486" s="6" t="s">
        <v>1198</v>
      </c>
      <c r="E486" s="6" t="s">
        <v>10</v>
      </c>
      <c r="F486" s="6">
        <v>-1</v>
      </c>
      <c r="G486" s="6" t="s">
        <v>156</v>
      </c>
    </row>
    <row r="487" spans="1:7" ht="14.25" customHeight="1" x14ac:dyDescent="0.3">
      <c r="A487" s="6">
        <v>494</v>
      </c>
      <c r="B487" s="6" t="s">
        <v>1199</v>
      </c>
      <c r="C487" s="6" t="s">
        <v>1173</v>
      </c>
      <c r="D487" s="6" t="s">
        <v>1200</v>
      </c>
      <c r="E487" s="6" t="s">
        <v>109</v>
      </c>
      <c r="F487" s="6" t="s">
        <v>163</v>
      </c>
      <c r="G487" s="6" t="s">
        <v>156</v>
      </c>
    </row>
    <row r="488" spans="1:7" ht="14.25" customHeight="1" x14ac:dyDescent="0.3">
      <c r="A488" s="6">
        <v>495</v>
      </c>
      <c r="B488" s="6" t="s">
        <v>1201</v>
      </c>
      <c r="C488" s="6" t="s">
        <v>1173</v>
      </c>
      <c r="D488" s="6" t="s">
        <v>1202</v>
      </c>
      <c r="E488" s="6" t="s">
        <v>109</v>
      </c>
      <c r="F488" s="6" t="s">
        <v>110</v>
      </c>
      <c r="G488" s="6" t="s">
        <v>156</v>
      </c>
    </row>
    <row r="489" spans="1:7" ht="14.25" customHeight="1" x14ac:dyDescent="0.3">
      <c r="A489" s="6">
        <v>496</v>
      </c>
      <c r="B489" s="6" t="s">
        <v>1199</v>
      </c>
      <c r="C489" s="6" t="s">
        <v>1173</v>
      </c>
      <c r="D489" s="6" t="s">
        <v>1203</v>
      </c>
      <c r="E489" s="6" t="s">
        <v>109</v>
      </c>
      <c r="F489" s="6" t="s">
        <v>110</v>
      </c>
      <c r="G489" s="6" t="s">
        <v>156</v>
      </c>
    </row>
    <row r="490" spans="1:7" ht="14.25" customHeight="1" x14ac:dyDescent="0.3">
      <c r="A490" s="6">
        <v>497</v>
      </c>
      <c r="B490" s="6" t="s">
        <v>1191</v>
      </c>
      <c r="C490" s="6" t="s">
        <v>1173</v>
      </c>
      <c r="D490" s="6" t="s">
        <v>1204</v>
      </c>
      <c r="E490" s="6" t="s">
        <v>10</v>
      </c>
      <c r="F490" s="6">
        <v>0</v>
      </c>
      <c r="G490" s="6" t="s">
        <v>156</v>
      </c>
    </row>
    <row r="491" spans="1:7" ht="14.25" customHeight="1" x14ac:dyDescent="0.3">
      <c r="A491" s="6">
        <v>498</v>
      </c>
      <c r="B491" s="6" t="s">
        <v>1205</v>
      </c>
      <c r="C491" s="6" t="s">
        <v>1173</v>
      </c>
      <c r="D491" s="6" t="s">
        <v>1206</v>
      </c>
      <c r="E491" s="6" t="s">
        <v>10</v>
      </c>
      <c r="F491" s="6">
        <v>4</v>
      </c>
      <c r="G491" s="6" t="s">
        <v>156</v>
      </c>
    </row>
    <row r="492" spans="1:7" ht="14.25" customHeight="1" x14ac:dyDescent="0.3">
      <c r="A492" s="6">
        <v>499</v>
      </c>
      <c r="B492" s="6" t="s">
        <v>1207</v>
      </c>
      <c r="C492" s="6" t="s">
        <v>1173</v>
      </c>
      <c r="D492" s="6" t="s">
        <v>1208</v>
      </c>
      <c r="E492" s="6" t="s">
        <v>821</v>
      </c>
      <c r="F492" s="6" t="s">
        <v>1209</v>
      </c>
      <c r="G492" s="6" t="s">
        <v>156</v>
      </c>
    </row>
    <row r="493" spans="1:7" ht="14.25" customHeight="1" x14ac:dyDescent="0.3">
      <c r="A493" s="6">
        <v>500</v>
      </c>
      <c r="B493" s="6" t="s">
        <v>1210</v>
      </c>
      <c r="C493" s="6" t="s">
        <v>1173</v>
      </c>
      <c r="D493" s="6" t="s">
        <v>1211</v>
      </c>
      <c r="E493" s="6" t="s">
        <v>821</v>
      </c>
      <c r="F493" s="6" t="s">
        <v>1212</v>
      </c>
      <c r="G493" s="6" t="s">
        <v>156</v>
      </c>
    </row>
    <row r="494" spans="1:7" ht="14.25" customHeight="1" x14ac:dyDescent="0.3">
      <c r="A494" s="6">
        <v>501</v>
      </c>
      <c r="B494" s="6" t="s">
        <v>1213</v>
      </c>
      <c r="C494" s="6" t="s">
        <v>1173</v>
      </c>
      <c r="D494" s="6" t="s">
        <v>1203</v>
      </c>
      <c r="E494" s="6" t="s">
        <v>109</v>
      </c>
      <c r="F494" s="6" t="s">
        <v>110</v>
      </c>
      <c r="G494" s="6" t="s">
        <v>156</v>
      </c>
    </row>
    <row r="495" spans="1:7" ht="14.25" customHeight="1" x14ac:dyDescent="0.3">
      <c r="A495" s="6">
        <v>502</v>
      </c>
      <c r="B495" s="6" t="s">
        <v>1214</v>
      </c>
      <c r="C495" s="6" t="s">
        <v>1173</v>
      </c>
      <c r="D495" s="6" t="s">
        <v>1215</v>
      </c>
      <c r="E495" s="6" t="s">
        <v>10</v>
      </c>
      <c r="F495" s="6">
        <v>7</v>
      </c>
      <c r="G495" s="6" t="s">
        <v>156</v>
      </c>
    </row>
    <row r="496" spans="1:7" ht="14.25" customHeight="1" x14ac:dyDescent="0.3">
      <c r="A496" s="6">
        <v>503</v>
      </c>
      <c r="B496" s="6" t="s">
        <v>1216</v>
      </c>
      <c r="C496" s="6" t="s">
        <v>1173</v>
      </c>
      <c r="D496" s="6" t="s">
        <v>1182</v>
      </c>
      <c r="E496" s="6" t="s">
        <v>10</v>
      </c>
      <c r="F496" s="6">
        <v>3</v>
      </c>
      <c r="G496" s="6" t="s">
        <v>156</v>
      </c>
    </row>
    <row r="497" spans="1:7" ht="14.25" customHeight="1" x14ac:dyDescent="0.3">
      <c r="A497" s="6">
        <v>504</v>
      </c>
      <c r="B497" s="6" t="s">
        <v>1217</v>
      </c>
      <c r="C497" s="6" t="s">
        <v>1173</v>
      </c>
      <c r="D497" s="6" t="s">
        <v>1218</v>
      </c>
      <c r="E497" s="6" t="s">
        <v>63</v>
      </c>
      <c r="F497" s="6" t="s">
        <v>1219</v>
      </c>
      <c r="G497" s="6"/>
    </row>
    <row r="498" spans="1:7" ht="14.25" customHeight="1" x14ac:dyDescent="0.3">
      <c r="A498" s="6">
        <v>505</v>
      </c>
      <c r="B498" s="6" t="s">
        <v>1220</v>
      </c>
      <c r="C498" s="6" t="s">
        <v>1173</v>
      </c>
      <c r="D498" s="6" t="s">
        <v>1221</v>
      </c>
      <c r="E498" s="6" t="s">
        <v>109</v>
      </c>
      <c r="F498" s="6" t="s">
        <v>110</v>
      </c>
      <c r="G498" s="6"/>
    </row>
    <row r="499" spans="1:7" ht="14.25" customHeight="1" x14ac:dyDescent="0.3">
      <c r="A499" s="6">
        <v>506</v>
      </c>
      <c r="B499" s="6" t="s">
        <v>1222</v>
      </c>
      <c r="C499" s="6" t="s">
        <v>1173</v>
      </c>
      <c r="D499" s="6" t="s">
        <v>1223</v>
      </c>
      <c r="E499" s="6" t="s">
        <v>109</v>
      </c>
      <c r="F499" s="6" t="s">
        <v>163</v>
      </c>
      <c r="G499" s="6"/>
    </row>
    <row r="500" spans="1:7" ht="14.25" customHeight="1" x14ac:dyDescent="0.3">
      <c r="A500" s="6">
        <v>507</v>
      </c>
      <c r="B500" s="6" t="s">
        <v>1224</v>
      </c>
      <c r="C500" s="6" t="s">
        <v>1173</v>
      </c>
      <c r="D500" s="6" t="s">
        <v>1225</v>
      </c>
      <c r="E500" s="6" t="s">
        <v>63</v>
      </c>
      <c r="F500" s="6" t="s">
        <v>1226</v>
      </c>
      <c r="G500" s="6" t="s">
        <v>156</v>
      </c>
    </row>
    <row r="501" spans="1:7" ht="14.25" customHeight="1" x14ac:dyDescent="0.3">
      <c r="A501" s="6">
        <v>508</v>
      </c>
      <c r="B501" s="7" t="s">
        <v>1224</v>
      </c>
      <c r="C501" s="6" t="s">
        <v>1173</v>
      </c>
      <c r="D501" s="6" t="s">
        <v>1227</v>
      </c>
      <c r="E501" s="6" t="s">
        <v>63</v>
      </c>
      <c r="F501" s="6" t="s">
        <v>1228</v>
      </c>
      <c r="G501" s="6" t="s">
        <v>156</v>
      </c>
    </row>
    <row r="502" spans="1:7" ht="14.25" customHeight="1" x14ac:dyDescent="0.3">
      <c r="A502" s="6">
        <v>509</v>
      </c>
      <c r="B502" s="6" t="s">
        <v>1224</v>
      </c>
      <c r="C502" s="6" t="s">
        <v>1173</v>
      </c>
      <c r="D502" s="6" t="s">
        <v>1229</v>
      </c>
      <c r="E502" s="6" t="s">
        <v>63</v>
      </c>
      <c r="F502" s="6" t="s">
        <v>1230</v>
      </c>
      <c r="G502" s="6" t="s">
        <v>156</v>
      </c>
    </row>
    <row r="503" spans="1:7" ht="14.25" customHeight="1" x14ac:dyDescent="0.3">
      <c r="A503" s="6">
        <v>510</v>
      </c>
      <c r="B503" s="6" t="s">
        <v>1231</v>
      </c>
      <c r="C503" s="6" t="s">
        <v>1173</v>
      </c>
      <c r="D503" s="6" t="s">
        <v>1232</v>
      </c>
      <c r="E503" s="6" t="s">
        <v>63</v>
      </c>
      <c r="F503" s="6" t="s">
        <v>1233</v>
      </c>
      <c r="G503" s="6"/>
    </row>
    <row r="504" spans="1:7" ht="14.25" customHeight="1" x14ac:dyDescent="0.3">
      <c r="A504" s="6">
        <v>511</v>
      </c>
      <c r="B504" s="6" t="s">
        <v>1234</v>
      </c>
      <c r="C504" s="6" t="s">
        <v>1173</v>
      </c>
      <c r="D504" s="6" t="s">
        <v>1235</v>
      </c>
      <c r="E504" s="6" t="s">
        <v>63</v>
      </c>
      <c r="F504" s="6" t="s">
        <v>1236</v>
      </c>
      <c r="G504" s="6"/>
    </row>
    <row r="505" spans="1:7" ht="14.25" customHeight="1" x14ac:dyDescent="0.3">
      <c r="A505" s="6">
        <v>512</v>
      </c>
      <c r="B505" s="6" t="s">
        <v>1224</v>
      </c>
      <c r="C505" s="6" t="s">
        <v>1173</v>
      </c>
      <c r="D505" s="6" t="s">
        <v>1237</v>
      </c>
      <c r="E505" s="6" t="s">
        <v>63</v>
      </c>
      <c r="F505" s="6" t="s">
        <v>1238</v>
      </c>
      <c r="G505" s="6" t="s">
        <v>156</v>
      </c>
    </row>
    <row r="506" spans="1:7" ht="14.25" customHeight="1" x14ac:dyDescent="0.3">
      <c r="A506" s="6">
        <v>513</v>
      </c>
      <c r="B506" s="6" t="s">
        <v>1239</v>
      </c>
      <c r="C506" s="6" t="s">
        <v>861</v>
      </c>
      <c r="D506" s="6" t="s">
        <v>1358</v>
      </c>
      <c r="E506" s="6" t="s">
        <v>10</v>
      </c>
      <c r="F506" s="6" t="s">
        <v>1366</v>
      </c>
      <c r="G506" s="6"/>
    </row>
    <row r="507" spans="1:7" ht="14.25" customHeight="1" x14ac:dyDescent="0.3">
      <c r="A507" s="6">
        <v>514</v>
      </c>
      <c r="B507" s="6" t="s">
        <v>1240</v>
      </c>
      <c r="C507" s="6" t="s">
        <v>861</v>
      </c>
      <c r="D507" s="6" t="s">
        <v>1241</v>
      </c>
      <c r="E507" s="6" t="s">
        <v>10</v>
      </c>
      <c r="F507" s="6">
        <v>40</v>
      </c>
      <c r="G507" s="6"/>
    </row>
    <row r="508" spans="1:7" ht="14.25" customHeight="1" x14ac:dyDescent="0.3">
      <c r="A508" s="6">
        <v>515</v>
      </c>
      <c r="B508" s="6" t="s">
        <v>1242</v>
      </c>
      <c r="C508" s="6" t="s">
        <v>861</v>
      </c>
      <c r="D508" s="6" t="s">
        <v>1243</v>
      </c>
      <c r="E508" s="6" t="s">
        <v>10</v>
      </c>
      <c r="F508" s="6">
        <v>36</v>
      </c>
      <c r="G508" s="6"/>
    </row>
    <row r="509" spans="1:7" ht="14.25" customHeight="1" x14ac:dyDescent="0.3">
      <c r="A509" s="6">
        <v>516</v>
      </c>
      <c r="B509" s="6" t="s">
        <v>1244</v>
      </c>
      <c r="C509" s="6" t="s">
        <v>861</v>
      </c>
      <c r="D509" s="6" t="s">
        <v>1245</v>
      </c>
      <c r="E509" s="6" t="s">
        <v>10</v>
      </c>
      <c r="F509" s="6">
        <v>9</v>
      </c>
      <c r="G509" s="6"/>
    </row>
    <row r="510" spans="1:7" ht="14.25" customHeight="1" x14ac:dyDescent="0.3">
      <c r="A510" s="6">
        <v>517</v>
      </c>
      <c r="B510" s="6" t="s">
        <v>1246</v>
      </c>
      <c r="C510" s="6" t="s">
        <v>861</v>
      </c>
      <c r="D510" s="6" t="s">
        <v>1247</v>
      </c>
      <c r="E510" s="6" t="s">
        <v>109</v>
      </c>
      <c r="F510" s="6" t="s">
        <v>110</v>
      </c>
      <c r="G510" s="6"/>
    </row>
    <row r="511" spans="1:7" ht="14.25" customHeight="1" x14ac:dyDescent="0.3">
      <c r="A511" s="6">
        <v>518</v>
      </c>
      <c r="B511" s="6" t="s">
        <v>1248</v>
      </c>
      <c r="C511" s="6" t="s">
        <v>861</v>
      </c>
      <c r="D511" s="6" t="s">
        <v>1249</v>
      </c>
      <c r="E511" s="6" t="s">
        <v>109</v>
      </c>
      <c r="F511" s="6" t="s">
        <v>110</v>
      </c>
      <c r="G511" s="6"/>
    </row>
    <row r="512" spans="1:7" ht="14.25" customHeight="1" x14ac:dyDescent="0.3">
      <c r="A512" s="6">
        <v>519</v>
      </c>
      <c r="B512" s="6" t="s">
        <v>1250</v>
      </c>
      <c r="C512" s="6" t="s">
        <v>861</v>
      </c>
      <c r="D512" s="6" t="s">
        <v>1251</v>
      </c>
      <c r="E512" s="6" t="s">
        <v>109</v>
      </c>
      <c r="F512" s="6" t="s">
        <v>163</v>
      </c>
      <c r="G512" s="6"/>
    </row>
    <row r="513" spans="1:7" ht="14.25" customHeight="1" x14ac:dyDescent="0.3">
      <c r="A513" s="6">
        <v>520</v>
      </c>
      <c r="B513" s="6" t="s">
        <v>1252</v>
      </c>
      <c r="C513" s="6" t="s">
        <v>861</v>
      </c>
      <c r="D513" s="6" t="s">
        <v>1253</v>
      </c>
      <c r="E513" s="6" t="s">
        <v>1254</v>
      </c>
      <c r="F513" s="6" t="s">
        <v>1255</v>
      </c>
      <c r="G513" s="6" t="s">
        <v>156</v>
      </c>
    </row>
    <row r="514" spans="1:7" ht="14.25" customHeight="1" x14ac:dyDescent="0.3">
      <c r="A514" s="6">
        <v>521</v>
      </c>
      <c r="B514" s="6" t="s">
        <v>1256</v>
      </c>
      <c r="C514" s="6" t="s">
        <v>1257</v>
      </c>
      <c r="D514" s="6" t="s">
        <v>1258</v>
      </c>
      <c r="E514" s="6" t="s">
        <v>63</v>
      </c>
      <c r="F514" s="6" t="s">
        <v>1259</v>
      </c>
      <c r="G514" s="6" t="s">
        <v>156</v>
      </c>
    </row>
    <row r="515" spans="1:7" ht="14.25" customHeight="1" x14ac:dyDescent="0.3">
      <c r="A515" s="6">
        <v>522</v>
      </c>
      <c r="B515" s="6" t="s">
        <v>1260</v>
      </c>
      <c r="C515" s="6" t="s">
        <v>1257</v>
      </c>
      <c r="D515" s="6" t="s">
        <v>1261</v>
      </c>
      <c r="E515" s="6" t="s">
        <v>63</v>
      </c>
      <c r="F515" s="6" t="s">
        <v>1262</v>
      </c>
      <c r="G515" s="6" t="s">
        <v>156</v>
      </c>
    </row>
    <row r="516" spans="1:7" ht="14.25" customHeight="1" x14ac:dyDescent="0.3">
      <c r="A516" s="6">
        <v>523</v>
      </c>
      <c r="B516" s="6" t="s">
        <v>1263</v>
      </c>
      <c r="C516" s="6" t="s">
        <v>1257</v>
      </c>
      <c r="D516" s="6" t="s">
        <v>1264</v>
      </c>
      <c r="E516" s="6" t="s">
        <v>63</v>
      </c>
      <c r="F516" s="6" t="s">
        <v>1265</v>
      </c>
      <c r="G516" s="6" t="s">
        <v>156</v>
      </c>
    </row>
    <row r="517" spans="1:7" ht="14.25" customHeight="1" x14ac:dyDescent="0.3">
      <c r="A517" s="6">
        <v>524</v>
      </c>
      <c r="B517" s="6" t="s">
        <v>1266</v>
      </c>
      <c r="C517" s="6" t="s">
        <v>1257</v>
      </c>
      <c r="D517" s="6" t="s">
        <v>1267</v>
      </c>
      <c r="E517" s="6" t="s">
        <v>63</v>
      </c>
      <c r="F517" s="6" t="s">
        <v>1268</v>
      </c>
      <c r="G517" s="6" t="s">
        <v>156</v>
      </c>
    </row>
    <row r="518" spans="1:7" ht="14.25" customHeight="1" x14ac:dyDescent="0.3">
      <c r="A518" s="6">
        <v>525</v>
      </c>
      <c r="B518" s="6" t="s">
        <v>1269</v>
      </c>
      <c r="C518" s="6" t="s">
        <v>1257</v>
      </c>
      <c r="D518" s="6" t="s">
        <v>1270</v>
      </c>
      <c r="E518" s="6" t="s">
        <v>63</v>
      </c>
      <c r="F518" s="6" t="s">
        <v>1271</v>
      </c>
      <c r="G518" s="6" t="s">
        <v>156</v>
      </c>
    </row>
    <row r="519" spans="1:7" ht="14.25" customHeight="1" x14ac:dyDescent="0.3">
      <c r="A519" s="6">
        <v>526</v>
      </c>
      <c r="B519" s="6" t="s">
        <v>1272</v>
      </c>
      <c r="C519" s="6" t="s">
        <v>1257</v>
      </c>
      <c r="D519" s="6" t="s">
        <v>1273</v>
      </c>
      <c r="E519" s="6" t="s">
        <v>63</v>
      </c>
      <c r="F519" s="6" t="s">
        <v>1274</v>
      </c>
      <c r="G519" s="6" t="s">
        <v>156</v>
      </c>
    </row>
    <row r="520" spans="1:7" ht="14.25" customHeight="1" x14ac:dyDescent="0.3">
      <c r="A520" s="6">
        <v>527</v>
      </c>
      <c r="B520" s="6" t="s">
        <v>1275</v>
      </c>
      <c r="C520" s="6" t="s">
        <v>1257</v>
      </c>
      <c r="D520" s="6" t="s">
        <v>1276</v>
      </c>
      <c r="E520" s="6" t="s">
        <v>63</v>
      </c>
      <c r="F520" s="6" t="s">
        <v>1277</v>
      </c>
      <c r="G520" s="6" t="s">
        <v>156</v>
      </c>
    </row>
    <row r="521" spans="1:7" ht="14.25" customHeight="1" x14ac:dyDescent="0.3">
      <c r="A521" s="6">
        <v>528</v>
      </c>
      <c r="B521" s="6" t="s">
        <v>1278</v>
      </c>
      <c r="C521" s="6" t="s">
        <v>1257</v>
      </c>
      <c r="D521" s="6" t="s">
        <v>1279</v>
      </c>
      <c r="E521" s="6" t="s">
        <v>63</v>
      </c>
      <c r="F521" s="6" t="s">
        <v>1280</v>
      </c>
      <c r="G521" s="6" t="s">
        <v>156</v>
      </c>
    </row>
    <row r="522" spans="1:7" ht="14.25" customHeight="1" x14ac:dyDescent="0.3">
      <c r="A522" s="6">
        <v>529</v>
      </c>
      <c r="B522" s="6" t="s">
        <v>1281</v>
      </c>
      <c r="C522" s="6" t="s">
        <v>1257</v>
      </c>
      <c r="D522" s="6" t="s">
        <v>1282</v>
      </c>
      <c r="E522" s="6" t="s">
        <v>10</v>
      </c>
      <c r="F522" s="6">
        <v>655</v>
      </c>
      <c r="G522" s="6" t="s">
        <v>156</v>
      </c>
    </row>
    <row r="523" spans="1:7" ht="14.25" customHeight="1" x14ac:dyDescent="0.3">
      <c r="A523" s="6">
        <v>530</v>
      </c>
      <c r="B523" s="6" t="s">
        <v>1283</v>
      </c>
      <c r="C523" s="6" t="s">
        <v>1257</v>
      </c>
      <c r="D523" s="6" t="s">
        <v>1284</v>
      </c>
      <c r="E523" s="6" t="s">
        <v>10</v>
      </c>
      <c r="F523" s="6">
        <v>30</v>
      </c>
      <c r="G523" s="6" t="s">
        <v>156</v>
      </c>
    </row>
    <row r="524" spans="1:7" ht="14.25" customHeight="1" x14ac:dyDescent="0.3">
      <c r="A524" s="6">
        <v>531</v>
      </c>
      <c r="B524" s="6" t="s">
        <v>1285</v>
      </c>
      <c r="C524" s="6" t="s">
        <v>1257</v>
      </c>
      <c r="D524" s="6" t="s">
        <v>1286</v>
      </c>
      <c r="E524" s="6" t="s">
        <v>10</v>
      </c>
      <c r="F524" s="6">
        <v>312</v>
      </c>
      <c r="G524" s="6" t="s">
        <v>156</v>
      </c>
    </row>
    <row r="525" spans="1:7" ht="14.25" customHeight="1" x14ac:dyDescent="0.3">
      <c r="A525" s="6">
        <v>532</v>
      </c>
      <c r="B525" s="6" t="s">
        <v>1287</v>
      </c>
      <c r="C525" s="6" t="s">
        <v>1257</v>
      </c>
      <c r="D525" s="6" t="s">
        <v>1288</v>
      </c>
      <c r="E525" s="6" t="s">
        <v>10</v>
      </c>
      <c r="F525" s="6">
        <v>87</v>
      </c>
      <c r="G525" s="6" t="s">
        <v>156</v>
      </c>
    </row>
    <row r="526" spans="1:7" ht="14.25" customHeight="1" x14ac:dyDescent="0.3">
      <c r="A526" s="6">
        <v>533</v>
      </c>
      <c r="B526" s="6" t="s">
        <v>1289</v>
      </c>
      <c r="C526" s="6" t="s">
        <v>1257</v>
      </c>
      <c r="D526" s="6" t="s">
        <v>1290</v>
      </c>
      <c r="E526" s="6" t="s">
        <v>10</v>
      </c>
      <c r="F526" s="6">
        <v>146</v>
      </c>
      <c r="G526" s="6" t="s">
        <v>156</v>
      </c>
    </row>
    <row r="527" spans="1:7" ht="14.25" customHeight="1" x14ac:dyDescent="0.3">
      <c r="A527" s="6">
        <v>534</v>
      </c>
      <c r="B527" s="6" t="s">
        <v>1291</v>
      </c>
      <c r="C527" s="6" t="s">
        <v>1257</v>
      </c>
      <c r="D527" s="6" t="s">
        <v>1292</v>
      </c>
      <c r="E527" s="6" t="s">
        <v>10</v>
      </c>
      <c r="F527" s="6">
        <v>28</v>
      </c>
      <c r="G527" s="6" t="s">
        <v>156</v>
      </c>
    </row>
    <row r="528" spans="1:7" ht="14.25" customHeight="1" x14ac:dyDescent="0.3">
      <c r="A528" s="6">
        <v>535</v>
      </c>
      <c r="B528" s="6" t="s">
        <v>1293</v>
      </c>
      <c r="C528" s="6" t="s">
        <v>1257</v>
      </c>
      <c r="D528" s="6" t="s">
        <v>1294</v>
      </c>
      <c r="E528" s="6" t="s">
        <v>10</v>
      </c>
      <c r="F528" s="6">
        <v>2100</v>
      </c>
      <c r="G528" s="6" t="s">
        <v>156</v>
      </c>
    </row>
    <row r="529" spans="1:7" ht="14.25" customHeight="1" x14ac:dyDescent="0.3">
      <c r="A529" s="6">
        <v>536</v>
      </c>
      <c r="B529" s="6" t="s">
        <v>1295</v>
      </c>
      <c r="C529" s="6" t="s">
        <v>1257</v>
      </c>
      <c r="D529" s="6" t="s">
        <v>1296</v>
      </c>
      <c r="E529" s="6" t="s">
        <v>10</v>
      </c>
      <c r="F529" s="6">
        <v>900</v>
      </c>
      <c r="G529" s="6" t="s">
        <v>156</v>
      </c>
    </row>
    <row r="530" spans="1:7" ht="14.25" customHeight="1" x14ac:dyDescent="0.3">
      <c r="A530" s="6">
        <v>537</v>
      </c>
      <c r="B530" s="6" t="s">
        <v>1297</v>
      </c>
      <c r="C530" s="6" t="s">
        <v>1257</v>
      </c>
      <c r="D530" s="6" t="s">
        <v>1298</v>
      </c>
      <c r="E530" s="6" t="s">
        <v>63</v>
      </c>
      <c r="F530" s="6" t="s">
        <v>1299</v>
      </c>
      <c r="G530" s="6" t="s">
        <v>156</v>
      </c>
    </row>
    <row r="531" spans="1:7" ht="14.25" customHeight="1" x14ac:dyDescent="0.3">
      <c r="A531" s="6">
        <v>538</v>
      </c>
      <c r="B531" s="6" t="s">
        <v>1300</v>
      </c>
      <c r="C531" s="6" t="s">
        <v>1257</v>
      </c>
      <c r="D531" s="6" t="s">
        <v>1301</v>
      </c>
      <c r="E531" s="6" t="s">
        <v>63</v>
      </c>
      <c r="F531" s="6" t="s">
        <v>1302</v>
      </c>
      <c r="G531" s="6" t="s">
        <v>156</v>
      </c>
    </row>
    <row r="532" spans="1:7" ht="14.25" customHeight="1" x14ac:dyDescent="0.3">
      <c r="A532" s="6">
        <v>539</v>
      </c>
      <c r="B532" s="6" t="s">
        <v>1303</v>
      </c>
      <c r="C532" s="6" t="s">
        <v>1257</v>
      </c>
      <c r="D532" s="6" t="s">
        <v>1304</v>
      </c>
      <c r="E532" s="6" t="s">
        <v>63</v>
      </c>
      <c r="F532" s="6" t="s">
        <v>1305</v>
      </c>
      <c r="G532" s="6" t="s">
        <v>156</v>
      </c>
    </row>
    <row r="533" spans="1:7" ht="14.25" customHeight="1" x14ac:dyDescent="0.3">
      <c r="A533" s="6">
        <v>540</v>
      </c>
      <c r="B533" s="6" t="s">
        <v>1306</v>
      </c>
      <c r="C533" s="6" t="s">
        <v>1257</v>
      </c>
      <c r="D533" s="6" t="s">
        <v>1307</v>
      </c>
      <c r="E533" s="6" t="s">
        <v>63</v>
      </c>
      <c r="F533" s="6" t="s">
        <v>1308</v>
      </c>
      <c r="G533" s="6" t="s">
        <v>156</v>
      </c>
    </row>
    <row r="534" spans="1:7" ht="14.25" customHeight="1" x14ac:dyDescent="0.3">
      <c r="A534" s="6">
        <v>541</v>
      </c>
      <c r="B534" s="6" t="s">
        <v>1309</v>
      </c>
      <c r="C534" s="6" t="s">
        <v>1257</v>
      </c>
      <c r="D534" s="6" t="s">
        <v>1310</v>
      </c>
      <c r="E534" s="6" t="s">
        <v>63</v>
      </c>
      <c r="F534" s="6" t="s">
        <v>1311</v>
      </c>
      <c r="G534" s="6" t="s">
        <v>156</v>
      </c>
    </row>
    <row r="535" spans="1:7" ht="14.25" customHeight="1" x14ac:dyDescent="0.3">
      <c r="A535" s="6">
        <v>542</v>
      </c>
      <c r="B535" s="6" t="s">
        <v>1312</v>
      </c>
      <c r="C535" s="6" t="s">
        <v>1257</v>
      </c>
      <c r="D535" s="6" t="s">
        <v>1313</v>
      </c>
      <c r="E535" s="6" t="s">
        <v>63</v>
      </c>
      <c r="F535" s="6" t="s">
        <v>1314</v>
      </c>
      <c r="G535" s="6" t="s">
        <v>156</v>
      </c>
    </row>
    <row r="536" spans="1:7" ht="14.25" customHeight="1" x14ac:dyDescent="0.3">
      <c r="A536" s="6">
        <v>543</v>
      </c>
      <c r="B536" s="6" t="s">
        <v>1315</v>
      </c>
      <c r="C536" s="6" t="s">
        <v>1257</v>
      </c>
      <c r="D536" s="6" t="s">
        <v>1316</v>
      </c>
      <c r="E536" s="6" t="s">
        <v>63</v>
      </c>
      <c r="F536" s="6" t="s">
        <v>1317</v>
      </c>
      <c r="G536" s="6" t="s">
        <v>156</v>
      </c>
    </row>
    <row r="537" spans="1:7" ht="14.25" customHeight="1" x14ac:dyDescent="0.3">
      <c r="A537" s="6">
        <v>544</v>
      </c>
      <c r="B537" s="6" t="s">
        <v>1318</v>
      </c>
      <c r="C537" s="6" t="s">
        <v>1257</v>
      </c>
      <c r="D537" s="6" t="s">
        <v>1319</v>
      </c>
      <c r="E537" s="6" t="s">
        <v>63</v>
      </c>
      <c r="F537" s="6" t="s">
        <v>1320</v>
      </c>
      <c r="G537" s="6" t="s">
        <v>156</v>
      </c>
    </row>
    <row r="538" spans="1:7" ht="14.25" customHeight="1" x14ac:dyDescent="0.3">
      <c r="A538" s="6">
        <v>545</v>
      </c>
      <c r="B538" s="6" t="s">
        <v>1321</v>
      </c>
      <c r="C538" s="6" t="s">
        <v>1257</v>
      </c>
      <c r="D538" s="6" t="s">
        <v>1322</v>
      </c>
      <c r="E538" s="6" t="s">
        <v>63</v>
      </c>
      <c r="F538" s="8" t="s">
        <v>1323</v>
      </c>
      <c r="G538" s="6" t="s">
        <v>156</v>
      </c>
    </row>
    <row r="539" spans="1:7" ht="14.25" customHeight="1" x14ac:dyDescent="0.3">
      <c r="A539" s="6">
        <v>546</v>
      </c>
      <c r="B539" s="6" t="s">
        <v>1324</v>
      </c>
      <c r="C539" s="6" t="s">
        <v>1257</v>
      </c>
      <c r="D539" s="6" t="s">
        <v>1325</v>
      </c>
      <c r="E539" s="6" t="s">
        <v>63</v>
      </c>
      <c r="F539" s="8" t="s">
        <v>1326</v>
      </c>
      <c r="G539" s="6" t="s">
        <v>156</v>
      </c>
    </row>
    <row r="540" spans="1:7" ht="14.25" customHeight="1" x14ac:dyDescent="0.3">
      <c r="A540" s="6">
        <v>547</v>
      </c>
      <c r="B540" s="6" t="s">
        <v>1327</v>
      </c>
      <c r="C540" s="6" t="s">
        <v>1257</v>
      </c>
      <c r="D540" s="6" t="s">
        <v>1328</v>
      </c>
      <c r="E540" s="6" t="s">
        <v>63</v>
      </c>
      <c r="F540" s="8" t="s">
        <v>1329</v>
      </c>
      <c r="G540" s="6" t="s">
        <v>156</v>
      </c>
    </row>
    <row r="541" spans="1:7" ht="14.25" customHeight="1" x14ac:dyDescent="0.3">
      <c r="A541" s="6">
        <v>548</v>
      </c>
      <c r="B541" s="6" t="s">
        <v>1330</v>
      </c>
      <c r="C541" s="6" t="s">
        <v>1257</v>
      </c>
      <c r="D541" s="6" t="s">
        <v>1331</v>
      </c>
      <c r="E541" s="6" t="s">
        <v>63</v>
      </c>
      <c r="F541" s="8" t="s">
        <v>1332</v>
      </c>
      <c r="G541" s="6" t="s">
        <v>156</v>
      </c>
    </row>
    <row r="542" spans="1:7" ht="14.25" customHeight="1" x14ac:dyDescent="0.3">
      <c r="A542" s="6">
        <v>549</v>
      </c>
      <c r="B542" s="6" t="s">
        <v>1333</v>
      </c>
      <c r="C542" s="6" t="s">
        <v>1257</v>
      </c>
      <c r="D542" s="6" t="s">
        <v>1334</v>
      </c>
      <c r="E542" s="6" t="s">
        <v>591</v>
      </c>
      <c r="F542" s="8" t="s">
        <v>1335</v>
      </c>
      <c r="G542" s="6" t="s">
        <v>156</v>
      </c>
    </row>
    <row r="543" spans="1:7" ht="14.25" customHeight="1" x14ac:dyDescent="0.3">
      <c r="A543" s="6">
        <v>550</v>
      </c>
      <c r="B543" s="6" t="s">
        <v>1336</v>
      </c>
      <c r="C543" s="6" t="s">
        <v>1257</v>
      </c>
      <c r="D543" s="6" t="s">
        <v>1337</v>
      </c>
      <c r="E543" s="6" t="s">
        <v>591</v>
      </c>
      <c r="F543" s="8" t="s">
        <v>1338</v>
      </c>
      <c r="G543" s="6" t="s">
        <v>156</v>
      </c>
    </row>
    <row r="544" spans="1:7" ht="14.25" customHeight="1" x14ac:dyDescent="0.3">
      <c r="A544" s="6">
        <v>551</v>
      </c>
      <c r="B544" s="6" t="s">
        <v>1339</v>
      </c>
      <c r="C544" s="6" t="s">
        <v>1257</v>
      </c>
      <c r="D544" s="6" t="s">
        <v>1340</v>
      </c>
      <c r="E544" s="6" t="s">
        <v>1254</v>
      </c>
      <c r="F544" s="8" t="s">
        <v>1341</v>
      </c>
      <c r="G544" s="6" t="s">
        <v>156</v>
      </c>
    </row>
    <row r="545" spans="1:7" ht="14.25" customHeight="1" x14ac:dyDescent="0.3">
      <c r="A545" s="6">
        <v>552</v>
      </c>
      <c r="B545" s="6" t="s">
        <v>1342</v>
      </c>
      <c r="C545" s="6" t="s">
        <v>1257</v>
      </c>
      <c r="D545" s="6" t="s">
        <v>1343</v>
      </c>
      <c r="E545" s="6" t="s">
        <v>591</v>
      </c>
      <c r="F545" s="8" t="s">
        <v>1344</v>
      </c>
      <c r="G545" s="6" t="s">
        <v>156</v>
      </c>
    </row>
    <row r="546" spans="1:7" ht="14.25" customHeight="1" x14ac:dyDescent="0.3">
      <c r="F546" s="2"/>
    </row>
    <row r="547" spans="1:7" ht="14.25" customHeight="1" x14ac:dyDescent="0.3">
      <c r="F547" s="2"/>
    </row>
    <row r="548" spans="1:7" ht="14.25" customHeight="1" x14ac:dyDescent="0.3"/>
    <row r="549" spans="1:7" ht="14.25" customHeight="1" x14ac:dyDescent="0.3">
      <c r="F549" s="2"/>
    </row>
    <row r="550" spans="1:7" ht="14.25" customHeight="1" x14ac:dyDescent="0.3"/>
    <row r="551" spans="1:7" ht="14.25" customHeight="1" x14ac:dyDescent="0.3"/>
    <row r="552" spans="1:7" ht="14.25" customHeight="1" x14ac:dyDescent="0.3"/>
    <row r="553" spans="1:7" ht="14.25" customHeight="1" x14ac:dyDescent="0.3">
      <c r="F553" s="2"/>
    </row>
    <row r="554" spans="1:7" ht="14.25" customHeight="1" x14ac:dyDescent="0.3"/>
    <row r="555" spans="1:7" ht="14.25" customHeight="1" x14ac:dyDescent="0.3"/>
    <row r="556" spans="1:7" ht="14.25" customHeight="1" x14ac:dyDescent="0.3"/>
    <row r="557" spans="1:7" ht="14.25" customHeight="1" x14ac:dyDescent="0.3">
      <c r="B557" s="3"/>
    </row>
    <row r="558" spans="1:7" ht="14.25" customHeight="1" x14ac:dyDescent="0.3"/>
    <row r="559" spans="1:7" ht="14.25" customHeight="1" x14ac:dyDescent="0.3"/>
    <row r="560" spans="1:7"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Feuil1</vt:lpstr>
      <vt:lpstr>Feuil3</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PERON</dc:creator>
  <cp:lastModifiedBy>Omer Faruk GUNES</cp:lastModifiedBy>
  <dcterms:created xsi:type="dcterms:W3CDTF">2024-10-25T16:09:54Z</dcterms:created>
  <dcterms:modified xsi:type="dcterms:W3CDTF">2024-11-15T20:40:33Z</dcterms:modified>
</cp:coreProperties>
</file>